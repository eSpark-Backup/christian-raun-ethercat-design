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sign-Files\Control-Board-v4.0\BOM\"/>
    </mc:Choice>
  </mc:AlternateContent>
  <xr:revisionPtr revIDLastSave="0" documentId="13_ncr:1_{1AB7649F-5294-484B-9C07-4EA030126116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<sst xmlns="http://schemas.openxmlformats.org/spreadsheetml/2006/main" count="235" uniqueCount="166">
  <si>
    <t>#</t>
  </si>
  <si>
    <t>Item Type</t>
  </si>
  <si>
    <t>Capacitor</t>
  </si>
  <si>
    <t>Diode</t>
  </si>
  <si>
    <t>ESD Diode</t>
  </si>
  <si>
    <t>Male Pin Header</t>
  </si>
  <si>
    <t>Receptacle Connector</t>
  </si>
  <si>
    <t>LED</t>
  </si>
  <si>
    <t>TEST POINT</t>
  </si>
  <si>
    <t>Resistor</t>
  </si>
  <si>
    <t>Switch</t>
  </si>
  <si>
    <t>Crystal</t>
  </si>
  <si>
    <t>Designator</t>
  </si>
  <si>
    <t>C1, C5, C7, C9, C10, C11, C12, C13, C14, C15, C16, C17, C18, C23, C24, C25, C26, C27, C28, C31, C34</t>
  </si>
  <si>
    <t>C2, C3, C32, C33</t>
  </si>
  <si>
    <t>C4, C6, C8, C29</t>
  </si>
  <si>
    <t>C19, C21, C22, C30</t>
  </si>
  <si>
    <t>C20</t>
  </si>
  <si>
    <t>D1, D2</t>
  </si>
  <si>
    <t>D3</t>
  </si>
  <si>
    <t>D4</t>
  </si>
  <si>
    <t>D5</t>
  </si>
  <si>
    <t>J1</t>
  </si>
  <si>
    <t>J2</t>
  </si>
  <si>
    <t>L1, L2, L3, L4, L5, L6</t>
  </si>
  <si>
    <t>LED1</t>
  </si>
  <si>
    <t>LED2</t>
  </si>
  <si>
    <t>LED3</t>
  </si>
  <si>
    <t>P1, P2</t>
  </si>
  <si>
    <t>R1, R2, R6, R7, R8, R9, R11, R12, R13</t>
  </si>
  <si>
    <t>R3, R4</t>
  </si>
  <si>
    <t>R5</t>
  </si>
  <si>
    <t>R10, R18, R19</t>
  </si>
  <si>
    <t>R14, R16</t>
  </si>
  <si>
    <t>R15</t>
  </si>
  <si>
    <t>R17</t>
  </si>
  <si>
    <t>R20, R21</t>
  </si>
  <si>
    <t>R22</t>
  </si>
  <si>
    <t>R23</t>
  </si>
  <si>
    <t>SW1</t>
  </si>
  <si>
    <t>U1</t>
  </si>
  <si>
    <t>U2</t>
  </si>
  <si>
    <t>U3</t>
  </si>
  <si>
    <t>X1</t>
  </si>
  <si>
    <t>X2</t>
  </si>
  <si>
    <t>Description</t>
  </si>
  <si>
    <t>CAP CER 0.1UF 10V X5R 0201</t>
  </si>
  <si>
    <t>CAP CER 10PF 25V C0G 0201</t>
  </si>
  <si>
    <t>CAP CER 1UF 10V X5R 0201</t>
  </si>
  <si>
    <t>CAP CER 4.7UF 10V X5R 0402</t>
  </si>
  <si>
    <t>CAP CER 10UF 10V X5R 0402</t>
  </si>
  <si>
    <t>DIODE GEN PURP 75V 200MA SOD523F</t>
  </si>
  <si>
    <t>TVS DIODE 5.25VWM 17VC SOT23-6</t>
  </si>
  <si>
    <t>TVS DIODE 5.25VWM 17VC SOT666</t>
  </si>
  <si>
    <t>15A@8/20us 9V 5V 3.3V Unidirectional SOD-323 TVS ROHS</t>
  </si>
  <si>
    <t>CONN RCPT 1.27MM SMD 32POS</t>
  </si>
  <si>
    <t>200Ω @ 100MHz 1 1A 300mΩ 0603 Ferrite Beads</t>
  </si>
  <si>
    <t>yellow 0603 Light Emitting Diodes (LED) ROHS</t>
  </si>
  <si>
    <t>RED LED 0603 Light Emitting Diodes</t>
  </si>
  <si>
    <t>Emerald 0603 Light Emitting Diodes (LED) ROHS</t>
  </si>
  <si>
    <t>Test Point ON</t>
  </si>
  <si>
    <t>RES SMD 10K OHM 1% 1/20W 0201</t>
  </si>
  <si>
    <t>RES 220 OHM 1% 1/20W 0201</t>
  </si>
  <si>
    <t>RES SMD 49.9 OHM 1% 1/20W 0201</t>
  </si>
  <si>
    <t>RES 33 OHM 1% 1/16W 0402</t>
  </si>
  <si>
    <t>RES 3.3K OHM 1% 1/20W 0201</t>
  </si>
  <si>
    <t>RES 22 OHM 1% 1/20W 0201</t>
  </si>
  <si>
    <t>RES SMD 12.1K OHM 1/10W 0603</t>
  </si>
  <si>
    <t>RES 100 OHM Thick Film 0201 1% 1/20W ±200ppm/°C Molded SMD SMD Paper T/R</t>
  </si>
  <si>
    <t>RES 82 OHM 0201 Thick Film 1% 0.05W(1/20W) ±200ppm/C Pad SMD T/R</t>
  </si>
  <si>
    <t>RES 1K OHM 1% 1/20W 0201</t>
  </si>
  <si>
    <t>SWITCH TACTILE SPST-NO 0.05A 12V</t>
  </si>
  <si>
    <t>IC ETHERCAT SLAVE CONTROLLER</t>
  </si>
  <si>
    <t>IC EEPROM 256KBIT I2C 1MHZ 8SOIC</t>
  </si>
  <si>
    <t>MAGNETIC ANGLE SENSOR</t>
  </si>
  <si>
    <t>CRYSTAL 25.0000MHZ 10PF SMD</t>
  </si>
  <si>
    <t>Crystal 32.768KHZ 6.0PF SMD</t>
  </si>
  <si>
    <t>Footprint</t>
  </si>
  <si>
    <t>CAP-0201</t>
  </si>
  <si>
    <t>Cap-0402</t>
  </si>
  <si>
    <t>SOD-523F</t>
  </si>
  <si>
    <t>SOT-23-6</t>
  </si>
  <si>
    <t>SOT-666</t>
  </si>
  <si>
    <t>SOD-323</t>
  </si>
  <si>
    <t>M55-6013242R</t>
  </si>
  <si>
    <t>IND-0603 (1608 Metric)</t>
  </si>
  <si>
    <t>LED-0603</t>
  </si>
  <si>
    <t>Test-point</t>
  </si>
  <si>
    <t>Res-0201</t>
  </si>
  <si>
    <t>Res-0402</t>
  </si>
  <si>
    <t>Res-0603</t>
  </si>
  <si>
    <t>B3U-1000P</t>
  </si>
  <si>
    <t>CAT24C256WI-GT3</t>
  </si>
  <si>
    <t>ABM10AIG-25.000MHZ-4Z-T3</t>
  </si>
  <si>
    <t>2-SMD, (2.00mm x 1.20mm)</t>
  </si>
  <si>
    <t>Manufacturer Part Number</t>
  </si>
  <si>
    <t>CC0201KRX5R6BB104</t>
  </si>
  <si>
    <t>CGA1A2C0G1E100D030BA</t>
  </si>
  <si>
    <t>CC0201MRX5R6BB105</t>
  </si>
  <si>
    <t>CC0402KRX5R6BB475</t>
  </si>
  <si>
    <t>CL05A106MP5NUNC</t>
  </si>
  <si>
    <t>1N4148WT</t>
  </si>
  <si>
    <t>PESDHC3D3V3U</t>
  </si>
  <si>
    <t>NCD0603Y2</t>
  </si>
  <si>
    <t>NCD0603R3</t>
  </si>
  <si>
    <t>NCD0603G2</t>
  </si>
  <si>
    <t>RC0201FR-0710KL</t>
  </si>
  <si>
    <t>RC0201FR-07220RL</t>
  </si>
  <si>
    <t>RC0201FR-0749R9L</t>
  </si>
  <si>
    <t>RC0402FR-0733RL</t>
  </si>
  <si>
    <t>RC0201FR-073K3L</t>
  </si>
  <si>
    <t>RC0201FR-0722RL</t>
  </si>
  <si>
    <t>RT0603CRD0712K1L</t>
  </si>
  <si>
    <t>RC0201FR-07100RL</t>
  </si>
  <si>
    <t>RC0201FR-0782RL</t>
  </si>
  <si>
    <t>RC0201FR-071KP</t>
  </si>
  <si>
    <t>LAN9255-I/ZMX019</t>
  </si>
  <si>
    <t>TLE5012BE5000</t>
  </si>
  <si>
    <t>CM8V-T1A-32.768KHZ-6PF-20PPM-TA-QC</t>
  </si>
  <si>
    <t>Manufacturer</t>
  </si>
  <si>
    <t>Yageo</t>
  </si>
  <si>
    <t>TDK</t>
  </si>
  <si>
    <t>Samsung</t>
  </si>
  <si>
    <t>ON Semiconductor / Fairchild</t>
  </si>
  <si>
    <t>Shanghai Prisemi Elec</t>
  </si>
  <si>
    <t>XKB</t>
  </si>
  <si>
    <t>Harwin</t>
  </si>
  <si>
    <t>Meled</t>
  </si>
  <si>
    <t>Foshan NationStar Optoelectronics</t>
  </si>
  <si>
    <t>Omron</t>
  </si>
  <si>
    <t>Microchip</t>
  </si>
  <si>
    <t>ON Semiconductor</t>
  </si>
  <si>
    <t>Infineon</t>
  </si>
  <si>
    <t>Micro Crystal</t>
  </si>
  <si>
    <t>100nF</t>
  </si>
  <si>
    <t>10pF</t>
  </si>
  <si>
    <t>1uF</t>
  </si>
  <si>
    <t>4.7uF</t>
  </si>
  <si>
    <t>10uF</t>
  </si>
  <si>
    <t>USBLC6-4SC6</t>
  </si>
  <si>
    <t>USBLC6-2P6</t>
  </si>
  <si>
    <t>MLB1608-201P1A(f)</t>
  </si>
  <si>
    <t>10K</t>
  </si>
  <si>
    <t>220R</t>
  </si>
  <si>
    <t>49.9R</t>
  </si>
  <si>
    <t>33R</t>
  </si>
  <si>
    <t>3.3K</t>
  </si>
  <si>
    <t>22R</t>
  </si>
  <si>
    <t>12.1K</t>
  </si>
  <si>
    <t>100R</t>
  </si>
  <si>
    <t>82R</t>
  </si>
  <si>
    <t>1K</t>
  </si>
  <si>
    <t>25MHz</t>
  </si>
  <si>
    <t>32.768KHZ</t>
  </si>
  <si>
    <t>Quantity</t>
  </si>
  <si>
    <t>TECH PUBLIC</t>
  </si>
  <si>
    <t>Custom</t>
  </si>
  <si>
    <t>-</t>
  </si>
  <si>
    <t>Do not Mount</t>
  </si>
  <si>
    <t>Abracon LLC</t>
  </si>
  <si>
    <t>Inductor</t>
  </si>
  <si>
    <t>Value</t>
  </si>
  <si>
    <t>Remarks</t>
  </si>
  <si>
    <t>IC</t>
  </si>
  <si>
    <t>X6521WR-2x05H-C60D30</t>
  </si>
  <si>
    <t>Gold 250V 3A Pin Header 2.5mm 10P -40℃~+105℃ 2.54mm 2 Black Brass 2x5P 2.54mm Through Hole,Right Angle,P=2.54mm Pin Headers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</si>
</sst>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tabSelected="1" topLeftCell="A4" workbookViewId="0">
      <selection activeCell="C12" sqref="C12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" thickBot="1" x14ac:dyDescent="0.35">
      <c r="A2" s="1"/>
      <c r="B2" s="5" t="s">
        <v>0</v>
      </c>
      <c r="C2" s="5" t="s">
        <v>1</v>
      </c>
      <c r="D2" s="5" t="s">
        <v>12</v>
      </c>
      <c r="E2" s="6" t="s">
        <v>45</v>
      </c>
      <c r="F2" s="5" t="s">
        <v>77</v>
      </c>
      <c r="G2" s="6" t="s">
        <v>95</v>
      </c>
      <c r="H2" s="5" t="s">
        <v>119</v>
      </c>
      <c r="I2" s="6" t="s">
        <v>161</v>
      </c>
      <c r="J2" s="5" t="s">
        <v>154</v>
      </c>
      <c r="K2" s="5" t="s">
        <v>162</v>
      </c>
    </row>
    <row r="3" spans="1:11" ht="24.6" thickBot="1" x14ac:dyDescent="0.35">
      <c r="A3" s="1"/>
      <c r="B3" s="11">
        <f>ROW(B3) - ROW($B$2)</f>
        <v>1</v>
      </c>
      <c r="C3" s="13" t="s">
        <v>2</v>
      </c>
      <c r="D3" s="7" t="s">
        <v>13</v>
      </c>
      <c r="E3" s="8" t="s">
        <v>46</v>
      </c>
      <c r="F3" s="7" t="s">
        <v>78</v>
      </c>
      <c r="G3" s="8" t="s">
        <v>96</v>
      </c>
      <c r="H3" s="7" t="s">
        <v>120</v>
      </c>
      <c r="I3" s="8" t="s">
        <v>134</v>
      </c>
      <c r="J3" s="7">
        <v>21</v>
      </c>
      <c r="K3" s="7"/>
    </row>
    <row r="4" spans="1:11" ht="15" thickBot="1" x14ac:dyDescent="0.35">
      <c r="A4" s="1"/>
      <c r="B4" s="11">
        <f t="shared" ref="B4:B34" si="0">ROW(B4) - ROW($B$2)</f>
        <v>2</v>
      </c>
      <c r="C4" s="13" t="s">
        <v>2</v>
      </c>
      <c r="D4" s="9" t="s">
        <v>14</v>
      </c>
      <c r="E4" s="10" t="s">
        <v>47</v>
      </c>
      <c r="F4" s="9" t="s">
        <v>78</v>
      </c>
      <c r="G4" s="10" t="s">
        <v>97</v>
      </c>
      <c r="H4" s="9" t="s">
        <v>121</v>
      </c>
      <c r="I4" s="10" t="s">
        <v>135</v>
      </c>
      <c r="J4" s="9">
        <v>4</v>
      </c>
      <c r="K4" s="9"/>
    </row>
    <row r="5" spans="1:11" ht="15" thickBot="1" x14ac:dyDescent="0.35">
      <c r="A5" s="1"/>
      <c r="B5" s="11">
        <f>ROW(B5) - ROW($B$2)</f>
        <v>3</v>
      </c>
      <c r="C5" s="12" t="s">
        <v>2</v>
      </c>
      <c r="D5" s="7" t="s">
        <v>15</v>
      </c>
      <c r="E5" s="8" t="s">
        <v>48</v>
      </c>
      <c r="F5" s="7" t="s">
        <v>78</v>
      </c>
      <c r="G5" s="8" t="s">
        <v>98</v>
      </c>
      <c r="H5" s="7" t="s">
        <v>120</v>
      </c>
      <c r="I5" s="8" t="s">
        <v>136</v>
      </c>
      <c r="J5" s="7">
        <v>4</v>
      </c>
      <c r="K5" s="7"/>
    </row>
    <row r="6" spans="1:11" ht="15" thickBot="1" x14ac:dyDescent="0.35">
      <c r="A6" s="1"/>
      <c r="B6" s="11">
        <f t="shared" si="0"/>
        <v>4</v>
      </c>
      <c r="C6" s="12" t="s">
        <v>2</v>
      </c>
      <c r="D6" s="9" t="s">
        <v>16</v>
      </c>
      <c r="E6" s="10" t="s">
        <v>49</v>
      </c>
      <c r="F6" s="9" t="s">
        <v>79</v>
      </c>
      <c r="G6" s="10" t="s">
        <v>99</v>
      </c>
      <c r="H6" s="9" t="s">
        <v>120</v>
      </c>
      <c r="I6" s="10" t="s">
        <v>137</v>
      </c>
      <c r="J6" s="9">
        <v>4</v>
      </c>
      <c r="K6" s="9"/>
    </row>
    <row r="7" spans="1:11" ht="15" thickBot="1" x14ac:dyDescent="0.35">
      <c r="A7" s="1"/>
      <c r="B7" s="11">
        <f>ROW(B7) - ROW($B$2)</f>
        <v>5</v>
      </c>
      <c r="C7" s="12" t="s">
        <v>2</v>
      </c>
      <c r="D7" s="7" t="s">
        <v>17</v>
      </c>
      <c r="E7" s="8" t="s">
        <v>50</v>
      </c>
      <c r="F7" s="7" t="s">
        <v>79</v>
      </c>
      <c r="G7" s="8" t="s">
        <v>100</v>
      </c>
      <c r="H7" s="7" t="s">
        <v>122</v>
      </c>
      <c r="I7" s="8" t="s">
        <v>138</v>
      </c>
      <c r="J7" s="7">
        <v>1</v>
      </c>
      <c r="K7" s="7"/>
    </row>
    <row r="8" spans="1:11" ht="15" thickBot="1" x14ac:dyDescent="0.35">
      <c r="A8" s="1"/>
      <c r="B8" s="11">
        <f t="shared" si="0"/>
        <v>6</v>
      </c>
      <c r="C8" s="13" t="s">
        <v>3</v>
      </c>
      <c r="D8" s="9" t="s">
        <v>18</v>
      </c>
      <c r="E8" s="10" t="s">
        <v>51</v>
      </c>
      <c r="F8" s="9" t="s">
        <v>80</v>
      </c>
      <c r="G8" s="10" t="s">
        <v>101</v>
      </c>
      <c r="H8" s="9" t="s">
        <v>123</v>
      </c>
      <c r="I8" s="10" t="s">
        <v>157</v>
      </c>
      <c r="J8" s="9">
        <v>2</v>
      </c>
      <c r="K8" s="9"/>
    </row>
    <row r="9" spans="1:11" ht="15" thickBot="1" x14ac:dyDescent="0.35">
      <c r="A9" s="1"/>
      <c r="B9" s="11">
        <f>ROW(B9) - ROW($B$2)</f>
        <v>7</v>
      </c>
      <c r="C9" s="12" t="s">
        <v>4</v>
      </c>
      <c r="D9" s="7" t="s">
        <v>19</v>
      </c>
      <c r="E9" s="8" t="s">
        <v>52</v>
      </c>
      <c r="F9" s="7" t="s">
        <v>81</v>
      </c>
      <c r="G9" s="8" t="s">
        <v>139</v>
      </c>
      <c r="H9" s="7" t="s">
        <v>155</v>
      </c>
      <c r="I9" s="10" t="s">
        <v>157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4</v>
      </c>
      <c r="D10" s="9" t="s">
        <v>20</v>
      </c>
      <c r="E10" s="10" t="s">
        <v>53</v>
      </c>
      <c r="F10" s="9" t="s">
        <v>82</v>
      </c>
      <c r="G10" s="10" t="s">
        <v>140</v>
      </c>
      <c r="H10" s="7" t="s">
        <v>155</v>
      </c>
      <c r="I10" s="10" t="s">
        <v>157</v>
      </c>
      <c r="J10" s="9">
        <v>1</v>
      </c>
      <c r="K10" s="9"/>
    </row>
    <row r="11" spans="1:11" ht="24.6" thickBot="1" x14ac:dyDescent="0.35">
      <c r="A11" s="1"/>
      <c r="B11" s="11">
        <f>ROW(B11) - ROW($B$2)</f>
        <v>9</v>
      </c>
      <c r="C11" s="12" t="s">
        <v>3</v>
      </c>
      <c r="D11" s="7" t="s">
        <v>21</v>
      </c>
      <c r="E11" s="8" t="s">
        <v>54</v>
      </c>
      <c r="F11" s="7" t="s">
        <v>83</v>
      </c>
      <c r="G11" s="8" t="s">
        <v>102</v>
      </c>
      <c r="H11" s="7" t="s">
        <v>124</v>
      </c>
      <c r="I11" s="10" t="s">
        <v>157</v>
      </c>
      <c r="J11" s="7">
        <v>1</v>
      </c>
      <c r="K11" s="7"/>
    </row>
    <row r="12" spans="1:11" ht="48.6" thickBot="1" x14ac:dyDescent="0.35">
      <c r="A12" s="1"/>
      <c r="B12" s="11">
        <f t="shared" si="0"/>
        <v>10</v>
      </c>
      <c r="C12" s="13" t="s">
        <v>5</v>
      </c>
      <c r="D12" s="9" t="s">
        <v>22</v>
      </c>
      <c r="E12" s="10" t="s">
        <v>165</v>
      </c>
      <c r="F12" s="9" t="s">
        <v>156</v>
      </c>
      <c r="G12" s="10" t="s">
        <v>164</v>
      </c>
      <c r="H12" s="9" t="s">
        <v>125</v>
      </c>
      <c r="I12" s="10" t="s">
        <v>157</v>
      </c>
      <c r="J12" s="9">
        <v>1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6</v>
      </c>
      <c r="D13" s="7" t="s">
        <v>23</v>
      </c>
      <c r="E13" s="8" t="s">
        <v>55</v>
      </c>
      <c r="F13" s="9" t="s">
        <v>156</v>
      </c>
      <c r="G13" s="8" t="s">
        <v>84</v>
      </c>
      <c r="H13" s="7" t="s">
        <v>126</v>
      </c>
      <c r="I13" s="10" t="s">
        <v>157</v>
      </c>
      <c r="J13" s="7">
        <v>1</v>
      </c>
      <c r="K13" s="7"/>
    </row>
    <row r="14" spans="1:11" ht="24.6" thickBot="1" x14ac:dyDescent="0.35">
      <c r="A14" s="1"/>
      <c r="B14" s="11">
        <f t="shared" si="0"/>
        <v>12</v>
      </c>
      <c r="C14" s="13" t="s">
        <v>160</v>
      </c>
      <c r="D14" s="9" t="s">
        <v>24</v>
      </c>
      <c r="E14" s="10" t="s">
        <v>56</v>
      </c>
      <c r="F14" s="9" t="s">
        <v>85</v>
      </c>
      <c r="G14" s="8" t="s">
        <v>141</v>
      </c>
      <c r="H14" s="9" t="s">
        <v>127</v>
      </c>
      <c r="I14" s="10" t="s">
        <v>157</v>
      </c>
      <c r="J14" s="9">
        <v>6</v>
      </c>
      <c r="K14" s="9"/>
    </row>
    <row r="15" spans="1:11" ht="24.6" thickBot="1" x14ac:dyDescent="0.35">
      <c r="A15" s="1"/>
      <c r="B15" s="11">
        <f>ROW(B15) - ROW($B$2)</f>
        <v>13</v>
      </c>
      <c r="C15" s="12" t="s">
        <v>7</v>
      </c>
      <c r="D15" s="7" t="s">
        <v>25</v>
      </c>
      <c r="E15" s="8" t="s">
        <v>57</v>
      </c>
      <c r="F15" s="7" t="s">
        <v>86</v>
      </c>
      <c r="G15" s="8" t="s">
        <v>103</v>
      </c>
      <c r="H15" s="7" t="s">
        <v>128</v>
      </c>
      <c r="I15" s="10" t="s">
        <v>157</v>
      </c>
      <c r="J15" s="7">
        <v>1</v>
      </c>
      <c r="K15" s="7"/>
    </row>
    <row r="16" spans="1:11" ht="24.6" thickBot="1" x14ac:dyDescent="0.35">
      <c r="A16" s="1"/>
      <c r="B16" s="11">
        <f t="shared" si="0"/>
        <v>14</v>
      </c>
      <c r="C16" s="13" t="s">
        <v>7</v>
      </c>
      <c r="D16" s="9" t="s">
        <v>26</v>
      </c>
      <c r="E16" s="10" t="s">
        <v>58</v>
      </c>
      <c r="F16" s="9" t="s">
        <v>86</v>
      </c>
      <c r="G16" s="10" t="s">
        <v>104</v>
      </c>
      <c r="H16" s="9" t="s">
        <v>128</v>
      </c>
      <c r="I16" s="10" t="s">
        <v>157</v>
      </c>
      <c r="J16" s="9">
        <v>1</v>
      </c>
      <c r="K16" s="9"/>
    </row>
    <row r="17" spans="1:11" ht="24.6" thickBot="1" x14ac:dyDescent="0.35">
      <c r="A17" s="1"/>
      <c r="B17" s="11">
        <f>ROW(B17) - ROW($B$2)</f>
        <v>15</v>
      </c>
      <c r="C17" s="12" t="s">
        <v>7</v>
      </c>
      <c r="D17" s="7" t="s">
        <v>27</v>
      </c>
      <c r="E17" s="8" t="s">
        <v>59</v>
      </c>
      <c r="F17" s="7" t="s">
        <v>86</v>
      </c>
      <c r="G17" s="8" t="s">
        <v>105</v>
      </c>
      <c r="H17" s="7" t="s">
        <v>128</v>
      </c>
      <c r="I17" s="10" t="s">
        <v>157</v>
      </c>
      <c r="J17" s="7">
        <v>1</v>
      </c>
      <c r="K17" s="7"/>
    </row>
    <row r="18" spans="1:11" ht="15" thickBot="1" x14ac:dyDescent="0.35">
      <c r="A18" s="1"/>
      <c r="B18" s="11">
        <f t="shared" si="0"/>
        <v>16</v>
      </c>
      <c r="C18" s="13" t="s">
        <v>8</v>
      </c>
      <c r="D18" s="16" t="s">
        <v>28</v>
      </c>
      <c r="E18" s="17" t="s">
        <v>60</v>
      </c>
      <c r="F18" s="14" t="s">
        <v>156</v>
      </c>
      <c r="G18" s="16" t="s">
        <v>87</v>
      </c>
      <c r="H18" s="16" t="s">
        <v>157</v>
      </c>
      <c r="I18" s="17" t="s">
        <v>157</v>
      </c>
      <c r="J18" s="16">
        <v>2</v>
      </c>
      <c r="K18" s="15" t="s">
        <v>158</v>
      </c>
    </row>
    <row r="19" spans="1:11" ht="15" thickBot="1" x14ac:dyDescent="0.35">
      <c r="A19" s="1"/>
      <c r="B19" s="11">
        <f>ROW(B19) - ROW($B$2)</f>
        <v>17</v>
      </c>
      <c r="C19" s="12" t="s">
        <v>9</v>
      </c>
      <c r="D19" s="7" t="s">
        <v>29</v>
      </c>
      <c r="E19" s="8" t="s">
        <v>61</v>
      </c>
      <c r="F19" s="7" t="s">
        <v>88</v>
      </c>
      <c r="G19" s="8" t="s">
        <v>106</v>
      </c>
      <c r="H19" s="7" t="s">
        <v>120</v>
      </c>
      <c r="I19" s="8" t="s">
        <v>142</v>
      </c>
      <c r="J19" s="7">
        <v>9</v>
      </c>
      <c r="K19" s="7"/>
    </row>
    <row r="20" spans="1:11" ht="15" thickBot="1" x14ac:dyDescent="0.35">
      <c r="A20" s="1"/>
      <c r="B20" s="11">
        <f t="shared" si="0"/>
        <v>18</v>
      </c>
      <c r="C20" s="12" t="s">
        <v>9</v>
      </c>
      <c r="D20" s="9" t="s">
        <v>30</v>
      </c>
      <c r="E20" s="10" t="s">
        <v>62</v>
      </c>
      <c r="F20" s="9" t="s">
        <v>88</v>
      </c>
      <c r="G20" s="10" t="s">
        <v>107</v>
      </c>
      <c r="H20" s="9" t="s">
        <v>120</v>
      </c>
      <c r="I20" s="10" t="s">
        <v>143</v>
      </c>
      <c r="J20" s="9">
        <v>2</v>
      </c>
      <c r="K20" s="9"/>
    </row>
    <row r="21" spans="1:11" ht="15" thickBot="1" x14ac:dyDescent="0.35">
      <c r="A21" s="1"/>
      <c r="B21" s="11">
        <f>ROW(B21) - ROW($B$2)</f>
        <v>19</v>
      </c>
      <c r="C21" s="12" t="s">
        <v>9</v>
      </c>
      <c r="D21" s="7" t="s">
        <v>31</v>
      </c>
      <c r="E21" s="8" t="s">
        <v>63</v>
      </c>
      <c r="F21" s="7" t="s">
        <v>88</v>
      </c>
      <c r="G21" s="8" t="s">
        <v>108</v>
      </c>
      <c r="H21" s="7" t="s">
        <v>120</v>
      </c>
      <c r="I21" s="8" t="s">
        <v>144</v>
      </c>
      <c r="J21" s="7">
        <v>1</v>
      </c>
      <c r="K21" s="7"/>
    </row>
    <row r="22" spans="1:11" ht="15" thickBot="1" x14ac:dyDescent="0.35">
      <c r="A22" s="1"/>
      <c r="B22" s="11">
        <f t="shared" si="0"/>
        <v>20</v>
      </c>
      <c r="C22" s="12" t="s">
        <v>9</v>
      </c>
      <c r="D22" s="9" t="s">
        <v>32</v>
      </c>
      <c r="E22" s="10" t="s">
        <v>64</v>
      </c>
      <c r="F22" s="9" t="s">
        <v>89</v>
      </c>
      <c r="G22" s="10" t="s">
        <v>109</v>
      </c>
      <c r="H22" s="9" t="s">
        <v>120</v>
      </c>
      <c r="I22" s="10" t="s">
        <v>145</v>
      </c>
      <c r="J22" s="9">
        <v>3</v>
      </c>
      <c r="K22" s="9"/>
    </row>
    <row r="23" spans="1:11" ht="15" thickBot="1" x14ac:dyDescent="0.35">
      <c r="A23" s="1"/>
      <c r="B23" s="11">
        <f>ROW(B23) - ROW($B$2)</f>
        <v>21</v>
      </c>
      <c r="C23" s="12" t="s">
        <v>9</v>
      </c>
      <c r="D23" s="7" t="s">
        <v>33</v>
      </c>
      <c r="E23" s="8" t="s">
        <v>65</v>
      </c>
      <c r="F23" s="7" t="s">
        <v>88</v>
      </c>
      <c r="G23" s="8" t="s">
        <v>110</v>
      </c>
      <c r="H23" s="7" t="s">
        <v>120</v>
      </c>
      <c r="I23" s="8" t="s">
        <v>146</v>
      </c>
      <c r="J23" s="7">
        <v>2</v>
      </c>
      <c r="K23" s="7"/>
    </row>
    <row r="24" spans="1:11" ht="15" thickBot="1" x14ac:dyDescent="0.35">
      <c r="A24" s="1"/>
      <c r="B24" s="11">
        <f t="shared" si="0"/>
        <v>22</v>
      </c>
      <c r="C24" s="13" t="s">
        <v>9</v>
      </c>
      <c r="D24" s="9" t="s">
        <v>34</v>
      </c>
      <c r="E24" s="10" t="s">
        <v>66</v>
      </c>
      <c r="F24" s="9" t="s">
        <v>88</v>
      </c>
      <c r="G24" s="10" t="s">
        <v>111</v>
      </c>
      <c r="H24" s="9" t="s">
        <v>120</v>
      </c>
      <c r="I24" s="10" t="s">
        <v>147</v>
      </c>
      <c r="J24" s="9">
        <v>1</v>
      </c>
      <c r="K24" s="9"/>
    </row>
    <row r="25" spans="1:11" ht="15" thickBot="1" x14ac:dyDescent="0.35">
      <c r="A25" s="1"/>
      <c r="B25" s="11">
        <f>ROW(B25) - ROW($B$2)</f>
        <v>23</v>
      </c>
      <c r="C25" s="13" t="s">
        <v>9</v>
      </c>
      <c r="D25" s="7" t="s">
        <v>35</v>
      </c>
      <c r="E25" s="8" t="s">
        <v>67</v>
      </c>
      <c r="F25" s="7" t="s">
        <v>90</v>
      </c>
      <c r="G25" s="8" t="s">
        <v>112</v>
      </c>
      <c r="H25" s="7" t="s">
        <v>120</v>
      </c>
      <c r="I25" s="8" t="s">
        <v>148</v>
      </c>
      <c r="J25" s="7">
        <v>1</v>
      </c>
      <c r="K25" s="7"/>
    </row>
    <row r="26" spans="1:11" ht="24.6" thickBot="1" x14ac:dyDescent="0.35">
      <c r="A26" s="1"/>
      <c r="B26" s="11">
        <f t="shared" si="0"/>
        <v>24</v>
      </c>
      <c r="C26" s="13" t="s">
        <v>9</v>
      </c>
      <c r="D26" s="9" t="s">
        <v>36</v>
      </c>
      <c r="E26" s="10" t="s">
        <v>68</v>
      </c>
      <c r="F26" s="9" t="s">
        <v>88</v>
      </c>
      <c r="G26" s="10" t="s">
        <v>113</v>
      </c>
      <c r="H26" s="9" t="s">
        <v>120</v>
      </c>
      <c r="I26" s="10" t="s">
        <v>149</v>
      </c>
      <c r="J26" s="9">
        <v>2</v>
      </c>
      <c r="K26" s="9"/>
    </row>
    <row r="27" spans="1:11" ht="24.6" thickBot="1" x14ac:dyDescent="0.35">
      <c r="A27" s="1"/>
      <c r="B27" s="11">
        <f>ROW(B27) - ROW($B$2)</f>
        <v>25</v>
      </c>
      <c r="C27" s="12" t="s">
        <v>9</v>
      </c>
      <c r="D27" s="7" t="s">
        <v>37</v>
      </c>
      <c r="E27" s="8" t="s">
        <v>69</v>
      </c>
      <c r="F27" s="7" t="s">
        <v>88</v>
      </c>
      <c r="G27" s="8" t="s">
        <v>114</v>
      </c>
      <c r="H27" s="7" t="s">
        <v>120</v>
      </c>
      <c r="I27" s="8" t="s">
        <v>150</v>
      </c>
      <c r="J27" s="7">
        <v>1</v>
      </c>
      <c r="K27" s="7"/>
    </row>
    <row r="28" spans="1:11" ht="15" thickBot="1" x14ac:dyDescent="0.35">
      <c r="A28" s="1"/>
      <c r="B28" s="11">
        <f t="shared" si="0"/>
        <v>26</v>
      </c>
      <c r="C28" s="12" t="s">
        <v>9</v>
      </c>
      <c r="D28" s="9" t="s">
        <v>38</v>
      </c>
      <c r="E28" s="10" t="s">
        <v>70</v>
      </c>
      <c r="F28" s="9" t="s">
        <v>88</v>
      </c>
      <c r="G28" s="10" t="s">
        <v>115</v>
      </c>
      <c r="H28" s="9" t="s">
        <v>120</v>
      </c>
      <c r="I28" s="10" t="s">
        <v>151</v>
      </c>
      <c r="J28" s="9">
        <v>1</v>
      </c>
      <c r="K28" s="9"/>
    </row>
    <row r="29" spans="1:11" ht="15" thickBot="1" x14ac:dyDescent="0.35">
      <c r="A29" s="1"/>
      <c r="B29" s="11">
        <f>ROW(B29) - ROW($B$2)</f>
        <v>27</v>
      </c>
      <c r="C29" s="12" t="s">
        <v>10</v>
      </c>
      <c r="D29" s="7" t="s">
        <v>39</v>
      </c>
      <c r="E29" s="8" t="s">
        <v>71</v>
      </c>
      <c r="F29" s="9" t="s">
        <v>156</v>
      </c>
      <c r="G29" s="8" t="s">
        <v>91</v>
      </c>
      <c r="H29" s="7" t="s">
        <v>129</v>
      </c>
      <c r="I29" s="8" t="s">
        <v>157</v>
      </c>
      <c r="J29" s="7">
        <v>1</v>
      </c>
      <c r="K29" s="7"/>
    </row>
    <row r="30" spans="1:11" ht="15" thickBot="1" x14ac:dyDescent="0.35">
      <c r="A30" s="1"/>
      <c r="B30" s="11">
        <f t="shared" si="0"/>
        <v>28</v>
      </c>
      <c r="C30" s="13" t="s">
        <v>163</v>
      </c>
      <c r="D30" s="9" t="s">
        <v>40</v>
      </c>
      <c r="E30" s="10" t="s">
        <v>72</v>
      </c>
      <c r="F30" s="9" t="s">
        <v>156</v>
      </c>
      <c r="G30" s="10" t="s">
        <v>116</v>
      </c>
      <c r="H30" s="9" t="s">
        <v>130</v>
      </c>
      <c r="I30" s="8" t="s">
        <v>157</v>
      </c>
      <c r="J30" s="9">
        <v>1</v>
      </c>
      <c r="K30" s="9"/>
    </row>
    <row r="31" spans="1:11" ht="15" thickBot="1" x14ac:dyDescent="0.35">
      <c r="A31" s="1"/>
      <c r="B31" s="11">
        <f>ROW(B31) - ROW($B$2)</f>
        <v>29</v>
      </c>
      <c r="C31" s="13" t="s">
        <v>163</v>
      </c>
      <c r="D31" s="7" t="s">
        <v>41</v>
      </c>
      <c r="E31" s="8" t="s">
        <v>73</v>
      </c>
      <c r="F31" s="9" t="s">
        <v>156</v>
      </c>
      <c r="G31" s="8" t="s">
        <v>92</v>
      </c>
      <c r="H31" s="7" t="s">
        <v>131</v>
      </c>
      <c r="I31" s="8" t="s">
        <v>157</v>
      </c>
      <c r="J31" s="7">
        <v>1</v>
      </c>
      <c r="K31" s="7"/>
    </row>
    <row r="32" spans="1:11" ht="15" thickBot="1" x14ac:dyDescent="0.35">
      <c r="A32" s="1"/>
      <c r="B32" s="11">
        <f t="shared" si="0"/>
        <v>30</v>
      </c>
      <c r="C32" s="13" t="s">
        <v>163</v>
      </c>
      <c r="D32" s="9" t="s">
        <v>42</v>
      </c>
      <c r="E32" s="10" t="s">
        <v>74</v>
      </c>
      <c r="F32" s="9" t="s">
        <v>156</v>
      </c>
      <c r="G32" s="10" t="s">
        <v>117</v>
      </c>
      <c r="H32" s="9" t="s">
        <v>132</v>
      </c>
      <c r="I32" s="8" t="s">
        <v>157</v>
      </c>
      <c r="J32" s="9">
        <v>1</v>
      </c>
      <c r="K32" s="9"/>
    </row>
    <row r="33" spans="1:11" ht="15" thickBot="1" x14ac:dyDescent="0.35">
      <c r="A33" s="1"/>
      <c r="B33" s="11">
        <f>ROW(B33) - ROW($B$2)</f>
        <v>31</v>
      </c>
      <c r="C33" s="12" t="s">
        <v>11</v>
      </c>
      <c r="D33" s="7" t="s">
        <v>43</v>
      </c>
      <c r="E33" s="8" t="s">
        <v>75</v>
      </c>
      <c r="F33" s="9" t="s">
        <v>156</v>
      </c>
      <c r="G33" s="9" t="s">
        <v>93</v>
      </c>
      <c r="H33" s="9" t="s">
        <v>159</v>
      </c>
      <c r="I33" s="8" t="s">
        <v>152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2" t="s">
        <v>11</v>
      </c>
      <c r="D34" s="9" t="s">
        <v>44</v>
      </c>
      <c r="E34" s="10" t="s">
        <v>76</v>
      </c>
      <c r="F34" s="9" t="s">
        <v>94</v>
      </c>
      <c r="G34" s="10" t="s">
        <v>118</v>
      </c>
      <c r="H34" s="9" t="s">
        <v>133</v>
      </c>
      <c r="I34" s="10" t="s">
        <v>153</v>
      </c>
      <c r="J34" s="9">
        <v>1</v>
      </c>
      <c r="K3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2025-09-18T06:47:52Z</dcterms:modified>
</cp:coreProperties>
</file>