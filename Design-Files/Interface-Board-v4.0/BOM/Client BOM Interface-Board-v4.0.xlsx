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tianRaun-EthercatDesign\Design-Files\Interface-Board-v4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8" i="1" l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<sst xmlns="http://schemas.openxmlformats.org/spreadsheetml/2006/main" count="362" uniqueCount="251">
  <si>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</si>
  <si>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</si>
  <si>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</si>
  <si>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</si>
  <si>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</si>
  <si>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</si>
  <si>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</si>
  <si>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</si>
  <si>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TVS  Diode</t>
  </si>
  <si>
    <t>Diode</t>
  </si>
  <si>
    <t>TVS Diode</t>
  </si>
  <si>
    <t>Male Header</t>
  </si>
  <si>
    <t>Ethernet Connector</t>
  </si>
  <si>
    <t>Connector Header</t>
  </si>
  <si>
    <t>Inductor</t>
  </si>
  <si>
    <t>Test Point</t>
  </si>
  <si>
    <t>Mosfet</t>
  </si>
  <si>
    <t>Resistor</t>
  </si>
  <si>
    <t>Resistor Current Sense</t>
  </si>
  <si>
    <t>IC</t>
  </si>
  <si>
    <t>MOSFET</t>
  </si>
  <si>
    <t>Designator</t>
  </si>
  <si>
    <t>C1</t>
  </si>
  <si>
    <t>C2</t>
  </si>
  <si>
    <t>C3</t>
  </si>
  <si>
    <t>C4, C5</t>
  </si>
  <si>
    <t>C6</t>
  </si>
  <si>
    <t>C7, C8</t>
  </si>
  <si>
    <t>C9, C10</t>
  </si>
  <si>
    <t>C11, C12</t>
  </si>
  <si>
    <t>C13</t>
  </si>
  <si>
    <t>C14, C16, C17</t>
  </si>
  <si>
    <t>C15</t>
  </si>
  <si>
    <t>C18</t>
  </si>
  <si>
    <t>C19, C20, C22, C23</t>
  </si>
  <si>
    <t>C21, C24</t>
  </si>
  <si>
    <t>C25, C26, C27, C28</t>
  </si>
  <si>
    <t>C29, C30, C31, C32, C34, C35, C36, C37</t>
  </si>
  <si>
    <t>C33, C38</t>
  </si>
  <si>
    <t>C39</t>
  </si>
  <si>
    <t>D1</t>
  </si>
  <si>
    <t>D2</t>
  </si>
  <si>
    <t>D3</t>
  </si>
  <si>
    <t>D4</t>
  </si>
  <si>
    <t>D5</t>
  </si>
  <si>
    <t>D6</t>
  </si>
  <si>
    <t>J1, J2</t>
  </si>
  <si>
    <t>J3, J4</t>
  </si>
  <si>
    <t>J5</t>
  </si>
  <si>
    <t>J6</t>
  </si>
  <si>
    <t>J7</t>
  </si>
  <si>
    <t>L1</t>
  </si>
  <si>
    <t>L2</t>
  </si>
  <si>
    <t>P1, P2, P3</t>
  </si>
  <si>
    <t>Q1</t>
  </si>
  <si>
    <t>R1</t>
  </si>
  <si>
    <t>R2</t>
  </si>
  <si>
    <t>R3</t>
  </si>
  <si>
    <t>R4, R5</t>
  </si>
  <si>
    <t>R6</t>
  </si>
  <si>
    <t>R7, R8, R12, R13, R14, R15, R19, R20</t>
  </si>
  <si>
    <t>R9, R10, R16, R17</t>
  </si>
  <si>
    <t>R11, R18</t>
  </si>
  <si>
    <t>R21, R22, R23, R24, R25, R26, R27, R28</t>
  </si>
  <si>
    <t>R29, R30</t>
  </si>
  <si>
    <t>R31</t>
  </si>
  <si>
    <t>R32</t>
  </si>
  <si>
    <t>U1</t>
  </si>
  <si>
    <t>U2</t>
  </si>
  <si>
    <t>U3</t>
  </si>
  <si>
    <t>U4, U5, U6, U7</t>
  </si>
  <si>
    <t>Description</t>
  </si>
  <si>
    <t>Multilayer Ceramic Capacitors MLCC - SMD/SMT 1210 10uF 63volts *Derate Voltage/Temp</t>
  </si>
  <si>
    <t>25V 10uF X7R ±10% 0805 Multilayer Ceramic Capacitors MLCC - SMD/SMT ROHS</t>
  </si>
  <si>
    <t>CAP CER 0.015UF 50V X7R 0402</t>
  </si>
  <si>
    <t>CAP CER 0.1UF 50V X7R 0402</t>
  </si>
  <si>
    <t>CAP CER 560PF 50V X7R 0402</t>
  </si>
  <si>
    <t>Multilayer Ceramic Capacitor, 22 uF, 10 V, ± 20%, X7R, 0805 [2012 Metric]</t>
  </si>
  <si>
    <t>16V 47uF X7R ±10% 1210 Multilayer Ceramic Capacitors MLCC - SMD/SMT ROHS</t>
  </si>
  <si>
    <t>CAP CER 2.2UF 25V X5R 0603</t>
  </si>
  <si>
    <t>CAP CER 0.47UF 50V X5R 0603</t>
  </si>
  <si>
    <t>CAP CER 0.1UF 100V X7R 0603</t>
  </si>
  <si>
    <t>CAP CER 0.022UF 100V X7R 0603</t>
  </si>
  <si>
    <t>1000uF 63V 2.86A@100kHz ±20% SMD,D16xL21mm Aluminum Electrolytic Capacitors - SMD ROHS</t>
  </si>
  <si>
    <t>CAP CER 0.22 uF, 50 V, ± 10%, X7R, 0603 [1608 Metric]</t>
  </si>
  <si>
    <t>CAP CER 0.47 uF, 50 V, ± 10%, X7R, 0603 [1608 Metric]</t>
  </si>
  <si>
    <t>CAP CER 1nF 100V X7R 0603</t>
  </si>
  <si>
    <t>CAP CER 10PF 25V C0G 0201</t>
  </si>
  <si>
    <t>CAP CER 0.022UF 25V X5R 0201</t>
  </si>
  <si>
    <t>CAP CER 1000PF 25V X5R 0201</t>
  </si>
  <si>
    <t>DIODE SCHOTTKY 60V 5A SMA</t>
  </si>
  <si>
    <t>TVS DIODE 48VWM 77.4VC DO214AC</t>
  </si>
  <si>
    <t>Schottky Barrier Diode SK36, DO-214AB, 3A/60V</t>
  </si>
  <si>
    <t>TVS DIODE 3.3VWM 11.5VC MICROSMP</t>
  </si>
  <si>
    <t>TVS DIODE 12VWM 19.9VC MICROSMP</t>
  </si>
  <si>
    <t>DIODE GEN PURP 75V 200MA SOD523F</t>
  </si>
  <si>
    <t>Gold 250V 3A Straight Square Pins 2.5mm 2P 260℃ 6mm -40℃~+105℃ 3mm 2.54mm Plugin Black Brass 1x2P Plugin,P=2.54mm Pin Headers ROHS</t>
  </si>
  <si>
    <t>1x1 Port Tab upright Surface Mount RJ45 Connector with Integrated Magnetics and LED</t>
  </si>
  <si>
    <t>Gold 250V 3A Brick nogging Square Pins 2.5mm 3P 260℃ 6mm -40℃~+105℃ 2.54mm Plugin Black Brass 1x3P SMD,P=2.54mm(交错脚) Pin Headers ROHS</t>
  </si>
  <si>
    <t>CONN HDR 1.27MM SMD 32POS</t>
  </si>
  <si>
    <t>Gold 250V 3A Straight Square Pins 2.5mm 4P 260℃ 6mm -40℃~+105℃ 3mm 2.54mm Plugin Black Brass 1x4P Plugin,P=2.54mm Pin Headers ROHS</t>
  </si>
  <si>
    <t>1.5A 3.9uH ±20% 1.4A SMD,3x3mm Power Inductors ROHS</t>
  </si>
  <si>
    <t>FIXED IND 15UH 2.8A 77 MOHM SMD</t>
  </si>
  <si>
    <t>Test Point ON</t>
  </si>
  <si>
    <t>MOSFET N-CH 20V 4.2A SOT23</t>
  </si>
  <si>
    <t>RES SMD 45.3KOHM 0.1% 1/16W 0402</t>
  </si>
  <si>
    <t>RES 150K OHM 0.1% 1/16W 0402</t>
  </si>
  <si>
    <t>RES SMD 10K OHM 0.1% 1/16W 0402</t>
  </si>
  <si>
    <t>RES 47K OHM 1% 1/20W 0201</t>
  </si>
  <si>
    <t>RES 2.2 OHM 1% 1/16W 0402</t>
  </si>
  <si>
    <t>RES 22 OHM 1% 1/10W 0603</t>
  </si>
  <si>
    <t>RES SMD 47OHM 0.1W 0603</t>
  </si>
  <si>
    <t>RES 0.075 OHM 1% 1W 1206</t>
  </si>
  <si>
    <t>RES SMD 49.9 OHM 1% 1/20W 0201</t>
  </si>
  <si>
    <t>RES 330 OHM 0.5% 1/20W 0201</t>
  </si>
  <si>
    <t>RES 33 OHM 1% 1/20W 0201</t>
  </si>
  <si>
    <t>RES SMD 10K OHM 1% 1/20W 0201</t>
  </si>
  <si>
    <t>IC REG BUCK ADJUSTABLE 3A 8SOPWR</t>
  </si>
  <si>
    <t>IC REG BUCK 3.3V 2A TSOT26</t>
  </si>
  <si>
    <t>IC MTR DRV BIPOLAR 10-50V 48TQFP</t>
  </si>
  <si>
    <t>MOSFET 2N-CH 60V 9.5A 8SOIC</t>
  </si>
  <si>
    <t>Footprint</t>
  </si>
  <si>
    <t>Cap-1210</t>
  </si>
  <si>
    <t>Cap-0805</t>
  </si>
  <si>
    <t>Cap-0402</t>
  </si>
  <si>
    <t>CAP-0603</t>
  </si>
  <si>
    <t>Cap-0603</t>
  </si>
  <si>
    <t>VKMI2101J102MV</t>
  </si>
  <si>
    <t>CAP-0201</t>
  </si>
  <si>
    <t>SMA</t>
  </si>
  <si>
    <t>MicroSMP</t>
  </si>
  <si>
    <t>SOD-523F</t>
  </si>
  <si>
    <t>HDR1X2_</t>
  </si>
  <si>
    <t>HR963370A</t>
  </si>
  <si>
    <t>HDR1X3-SMD</t>
  </si>
  <si>
    <t>M55-7013242R</t>
  </si>
  <si>
    <t>HDR1X4_</t>
  </si>
  <si>
    <t>FNR3015S3R9MT</t>
  </si>
  <si>
    <t>VLS6045AF-150M</t>
  </si>
  <si>
    <t>Test-point - 0.5mm</t>
  </si>
  <si>
    <t>SOT-23</t>
  </si>
  <si>
    <t>Res-0402</t>
  </si>
  <si>
    <t>Res-0201</t>
  </si>
  <si>
    <t>Res-0603</t>
  </si>
  <si>
    <t>Res-1206</t>
  </si>
  <si>
    <t>8-SO-EP_</t>
  </si>
  <si>
    <t>TSOT-23-6</t>
  </si>
  <si>
    <t>48-TQFP-EP(7x7)</t>
  </si>
  <si>
    <t>SOIC-8</t>
  </si>
  <si>
    <t>Manufacturer Part Number</t>
  </si>
  <si>
    <t>GRM32ER71J106KA12L</t>
  </si>
  <si>
    <t>CL21B106KAYQNNE</t>
  </si>
  <si>
    <t>CC0402KRX7R9BB153</t>
  </si>
  <si>
    <t>CL05B104KB54PNC</t>
  </si>
  <si>
    <t>CC0402JRX7R9BB561</t>
  </si>
  <si>
    <t>GRM21BZ71A226ME15L</t>
  </si>
  <si>
    <t>CS3225X7R476K160NRL</t>
  </si>
  <si>
    <t>CC0603KRX5R8BB225</t>
  </si>
  <si>
    <t>CC0603KRX5R9BB474</t>
  </si>
  <si>
    <t>CC0603KRX7R0BB104</t>
  </si>
  <si>
    <t>CGA3E2X7R2A223K080AA</t>
  </si>
  <si>
    <t>CC0603KRX7R9BB224</t>
  </si>
  <si>
    <t>CC0603KRX7R9BB474</t>
  </si>
  <si>
    <t>CL10B102KC8NNNC</t>
  </si>
  <si>
    <t>CGA1A2C0G1E100D030BA</t>
  </si>
  <si>
    <t>CC0201KRX5R8BB102</t>
  </si>
  <si>
    <t>SS56</t>
  </si>
  <si>
    <t>SMAJ48A</t>
  </si>
  <si>
    <t>SS36</t>
  </si>
  <si>
    <t>1N4148WT</t>
  </si>
  <si>
    <t>X6511WV-02H-C60D30</t>
  </si>
  <si>
    <t>X6511WVS-03H-C60D48R1</t>
  </si>
  <si>
    <t>X6511WV-04H-C60D30</t>
  </si>
  <si>
    <t>IRLML2502TRPBF</t>
  </si>
  <si>
    <t>RT0402BRD0745K3L</t>
  </si>
  <si>
    <t>RT0402BRD07150KL</t>
  </si>
  <si>
    <t>RT0402BRD0710KL</t>
  </si>
  <si>
    <t>RC0201FR-0747KL</t>
  </si>
  <si>
    <t>RC0402FR-072R2L</t>
  </si>
  <si>
    <t>RC0603FR-0722RL</t>
  </si>
  <si>
    <t>RC0603FR-0747RL</t>
  </si>
  <si>
    <t>ERJ-8BWFR075V</t>
  </si>
  <si>
    <t>RC0201FR-0749R9L</t>
  </si>
  <si>
    <t>RC0201DR-07330RL</t>
  </si>
  <si>
    <t>RC0201FR-0733RL</t>
  </si>
  <si>
    <t>RC0201FR-0710KL</t>
  </si>
  <si>
    <t>LMR16030SDDAR</t>
  </si>
  <si>
    <t>AP63203WU-7</t>
  </si>
  <si>
    <t>TMC2160A-TA-T</t>
  </si>
  <si>
    <t>AOSD62666E</t>
  </si>
  <si>
    <t>Manufacturer</t>
  </si>
  <si>
    <t>Murata</t>
  </si>
  <si>
    <t>Samsung Electro-Mechanics</t>
  </si>
  <si>
    <t>Yageo</t>
  </si>
  <si>
    <t>Samsung</t>
  </si>
  <si>
    <t>Samwha Capacitor</t>
  </si>
  <si>
    <t>TDK</t>
  </si>
  <si>
    <t>Ymin</t>
  </si>
  <si>
    <t>MDD</t>
  </si>
  <si>
    <t>Littelfuse</t>
  </si>
  <si>
    <t>ON Semiconductor / Fairchild</t>
  </si>
  <si>
    <t>XKB</t>
  </si>
  <si>
    <t>Hanrun</t>
  </si>
  <si>
    <t>XKB Connectivity</t>
  </si>
  <si>
    <t>Harwin</t>
  </si>
  <si>
    <t>cjiang (Changjiang Microelectronics Tech)</t>
  </si>
  <si>
    <t>Infineon Technologies</t>
  </si>
  <si>
    <t>Panasonic</t>
  </si>
  <si>
    <t>Texas Instruments</t>
  </si>
  <si>
    <t>Diodes</t>
  </si>
  <si>
    <t>Trinamic</t>
  </si>
  <si>
    <t>Alpha &amp; Omega Semiconductor</t>
  </si>
  <si>
    <t>10uF</t>
  </si>
  <si>
    <t>15nF</t>
  </si>
  <si>
    <t>0.1uF</t>
  </si>
  <si>
    <t>560pF</t>
  </si>
  <si>
    <t>22uF</t>
  </si>
  <si>
    <t>47uF</t>
  </si>
  <si>
    <t>2.2uF</t>
  </si>
  <si>
    <t>0.47uF</t>
  </si>
  <si>
    <t>22nF</t>
  </si>
  <si>
    <t>1000uF</t>
  </si>
  <si>
    <t>220nF</t>
  </si>
  <si>
    <t>470nF</t>
  </si>
  <si>
    <t>1nF</t>
  </si>
  <si>
    <t>10pF</t>
  </si>
  <si>
    <t>MSP3V3HM3/89A</t>
  </si>
  <si>
    <t>MSMP12A-M3/89A</t>
  </si>
  <si>
    <t>3.9uH</t>
  </si>
  <si>
    <t>15uH</t>
  </si>
  <si>
    <t>45.3k</t>
  </si>
  <si>
    <t>150K</t>
  </si>
  <si>
    <t>10K</t>
  </si>
  <si>
    <t>47K</t>
  </si>
  <si>
    <t>2.2R</t>
  </si>
  <si>
    <t>22R</t>
  </si>
  <si>
    <t>47R</t>
  </si>
  <si>
    <t>75mR</t>
  </si>
  <si>
    <t>49.9R</t>
  </si>
  <si>
    <t>330R</t>
  </si>
  <si>
    <t>33R</t>
  </si>
  <si>
    <t>Quantity</t>
  </si>
  <si>
    <t>Value</t>
  </si>
  <si>
    <t>Remarks</t>
  </si>
  <si>
    <t>-</t>
  </si>
  <si>
    <t>Bill of Materials for Project [Interface-Board-v4.0]</t>
  </si>
  <si>
    <t>Interface-Board-v4.0</t>
  </si>
  <si>
    <t>Custom</t>
  </si>
  <si>
    <t>Vishay General Semiconductor - Diodes Division</t>
  </si>
  <si>
    <t>CC0201KRX5R8BB223</t>
  </si>
  <si>
    <t>Do Not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</si>
</sst>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0" xfId="0" applyFont="1" applyFill="1" applyBorder="1" applyAlignment="1">
      <alignment vertical="center"/>
    </xf>
    <xf numFmtId="0" fontId="7" fillId="3" borderId="0" xfId="0" applyFont="1" applyFill="1"/>
    <xf numFmtId="0" fontId="8" fillId="3" borderId="4" xfId="0" applyFont="1" applyFill="1" applyBorder="1"/>
    <xf numFmtId="0" fontId="8" fillId="3" borderId="5" xfId="0" applyFont="1" applyFill="1" applyBorder="1"/>
    <xf numFmtId="0" fontId="9" fillId="3" borderId="0" xfId="0" applyFont="1" applyFill="1"/>
    <xf numFmtId="0" fontId="10" fillId="3" borderId="2" xfId="0" applyFont="1" applyFill="1" applyBorder="1" applyAlignment="1" applyProtection="1">
      <alignment horizontal="left" vertical="top"/>
      <protection locked="0"/>
    </xf>
    <xf numFmtId="0" fontId="11" fillId="3" borderId="2" xfId="0" applyFont="1" applyFill="1" applyBorder="1" applyAlignment="1" applyProtection="1">
      <alignment horizontal="left" vertical="top"/>
      <protection locked="0"/>
    </xf>
    <xf numFmtId="0" fontId="13" fillId="3" borderId="9" xfId="0" applyFont="1" applyFill="1" applyBorder="1" applyAlignment="1">
      <alignment vertical="center"/>
    </xf>
    <xf numFmtId="0" fontId="14" fillId="3" borderId="10" xfId="0" applyFont="1" applyFill="1" applyBorder="1" applyAlignment="1">
      <alignment vertical="center"/>
    </xf>
    <xf numFmtId="0" fontId="10" fillId="3" borderId="0" xfId="0" applyFont="1" applyFill="1"/>
    <xf numFmtId="0" fontId="12" fillId="3" borderId="5" xfId="0" applyFont="1" applyFill="1" applyBorder="1"/>
    <xf numFmtId="0" fontId="12" fillId="3" borderId="4" xfId="0" applyFont="1" applyFill="1" applyBorder="1"/>
    <xf numFmtId="0" fontId="10" fillId="3" borderId="4" xfId="0" applyFont="1" applyFill="1" applyBorder="1"/>
    <xf numFmtId="0" fontId="12" fillId="3" borderId="4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2" fillId="3" borderId="12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6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3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0" fillId="3" borderId="8" xfId="0" applyFont="1" applyFill="1" applyBorder="1" applyAlignment="1" applyProtection="1">
      <alignment horizontal="center" vertical="center"/>
      <protection locked="0"/>
    </xf>
    <xf numFmtId="0" fontId="10" fillId="3" borderId="9" xfId="0" applyFont="1" applyFill="1" applyBorder="1" applyAlignment="1" applyProtection="1">
      <alignment vertical="center"/>
      <protection locked="0"/>
    </xf>
    <xf numFmtId="0" fontId="11" fillId="3" borderId="9" xfId="0" applyFont="1" applyFill="1" applyBorder="1" applyAlignment="1" applyProtection="1">
      <alignment horizontal="left" vertical="center"/>
      <protection locked="0"/>
    </xf>
    <xf numFmtId="0" fontId="0" fillId="3" borderId="9" xfId="0" applyFill="1" applyBorder="1" applyAlignment="1">
      <alignment vertical="center"/>
    </xf>
    <xf numFmtId="0" fontId="0" fillId="3" borderId="9" xfId="0" applyFill="1" applyBorder="1"/>
    <xf numFmtId="0" fontId="17" fillId="2" borderId="1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0" fillId="3" borderId="7" xfId="0" applyFill="1" applyBorder="1"/>
    <xf numFmtId="0" fontId="11" fillId="3" borderId="16" xfId="0" applyFont="1" applyFill="1" applyBorder="1" applyAlignment="1" applyProtection="1">
      <alignment horizontal="left" vertical="top"/>
      <protection locked="0"/>
    </xf>
    <xf numFmtId="0" fontId="2" fillId="3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top"/>
      <protection locked="0"/>
    </xf>
    <xf numFmtId="0" fontId="10" fillId="4" borderId="13" xfId="0" applyFont="1" applyFill="1" applyBorder="1" applyAlignment="1">
      <alignment horizontal="center" vertical="center" wrapText="1"/>
    </xf>
    <xf numFmtId="0" fontId="14" fillId="3" borderId="10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4" xfId="0" quotePrefix="1" applyFont="1" applyFill="1" applyBorder="1" applyAlignment="1">
      <alignment horizontal="left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9" fillId="2" borderId="1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0"/>
  <sheetViews>
    <sheetView tabSelected="1" topLeftCell="A7" workbookViewId="0">
      <selection activeCell="F51" sqref="F51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28515625" bestFit="1" customWidth="1"/>
    <col min="10" max="10" width="8.7109375" bestFit="1" customWidth="1"/>
    <col min="11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56"/>
      <c r="J1" s="56"/>
      <c r="K1" s="56"/>
    </row>
    <row r="2" spans="1:11" ht="32.25" thickBot="1" x14ac:dyDescent="0.3">
      <c r="A2" s="1"/>
      <c r="B2" s="20"/>
      <c r="C2" s="43"/>
      <c r="D2" s="10" t="s">
        <v>0</v>
      </c>
      <c r="E2" s="10"/>
      <c r="F2" s="51" t="s">
        <v>245</v>
      </c>
      <c r="G2" s="11"/>
      <c r="H2" s="3"/>
      <c r="I2" s="3"/>
      <c r="J2" s="3"/>
      <c r="K2" s="40"/>
    </row>
    <row r="3" spans="1:11" x14ac:dyDescent="0.25">
      <c r="A3" s="1"/>
      <c r="B3" s="21"/>
      <c r="C3" s="44"/>
      <c r="D3" s="12" t="s">
        <v>1</v>
      </c>
      <c r="E3" s="12"/>
      <c r="F3" s="52" t="s">
        <v>246</v>
      </c>
      <c r="G3" s="12"/>
      <c r="H3" s="4"/>
      <c r="I3" s="4"/>
      <c r="J3" s="4"/>
      <c r="K3" s="4"/>
    </row>
    <row r="4" spans="1:11" x14ac:dyDescent="0.25">
      <c r="A4" s="1"/>
      <c r="B4" s="21"/>
      <c r="C4" s="44"/>
      <c r="D4" s="12" t="s">
        <v>2</v>
      </c>
      <c r="E4" s="12"/>
      <c r="F4" s="52" t="s">
        <v>246</v>
      </c>
      <c r="G4" s="13"/>
      <c r="H4" s="6"/>
      <c r="I4" s="6"/>
      <c r="J4" s="6"/>
      <c r="K4" s="6"/>
    </row>
    <row r="5" spans="1:11" x14ac:dyDescent="0.25">
      <c r="A5" s="1"/>
      <c r="B5" s="21"/>
      <c r="C5" s="44"/>
      <c r="D5" s="12" t="s">
        <v>3</v>
      </c>
      <c r="E5" s="12"/>
      <c r="F5" s="53" t="s">
        <v>5</v>
      </c>
      <c r="G5" s="14"/>
      <c r="H5" s="5"/>
      <c r="I5" s="5"/>
      <c r="J5" s="5"/>
      <c r="K5" s="5"/>
    </row>
    <row r="6" spans="1:11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</row>
    <row r="7" spans="1:11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</row>
    <row r="8" spans="1:11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</row>
    <row r="9" spans="1:11" ht="15.75" thickBot="1" x14ac:dyDescent="0.3">
      <c r="A9" s="1"/>
      <c r="B9" s="29" t="s">
        <v>4</v>
      </c>
      <c r="C9" s="29" t="s">
        <v>6</v>
      </c>
      <c r="D9" s="29" t="s">
        <v>21</v>
      </c>
      <c r="E9" s="30" t="s">
        <v>71</v>
      </c>
      <c r="F9" s="29" t="s">
        <v>121</v>
      </c>
      <c r="G9" s="30" t="s">
        <v>149</v>
      </c>
      <c r="H9" s="29" t="s">
        <v>190</v>
      </c>
      <c r="I9" s="30" t="s">
        <v>242</v>
      </c>
      <c r="J9" s="29" t="s">
        <v>241</v>
      </c>
      <c r="K9" s="29" t="s">
        <v>243</v>
      </c>
    </row>
    <row r="10" spans="1:11" ht="36.75" thickBot="1" x14ac:dyDescent="0.3">
      <c r="A10" s="1"/>
      <c r="B10" s="50">
        <f>ROW(B10) - ROW($B$9)</f>
        <v>1</v>
      </c>
      <c r="C10" s="54" t="s">
        <v>7</v>
      </c>
      <c r="D10" s="36" t="s">
        <v>22</v>
      </c>
      <c r="E10" s="37" t="s">
        <v>72</v>
      </c>
      <c r="F10" s="36" t="s">
        <v>122</v>
      </c>
      <c r="G10" s="37" t="s">
        <v>150</v>
      </c>
      <c r="H10" s="36" t="s">
        <v>191</v>
      </c>
      <c r="I10" s="37" t="s">
        <v>212</v>
      </c>
      <c r="J10" s="36">
        <v>1</v>
      </c>
      <c r="K10" s="36"/>
    </row>
    <row r="11" spans="1:11" ht="36.75" thickBot="1" x14ac:dyDescent="0.3">
      <c r="A11" s="1"/>
      <c r="B11" s="50">
        <f t="shared" ref="B11:B57" si="0">ROW(B11) - ROW($B$9)</f>
        <v>2</v>
      </c>
      <c r="C11" s="55" t="s">
        <v>7</v>
      </c>
      <c r="D11" s="38" t="s">
        <v>23</v>
      </c>
      <c r="E11" s="39" t="s">
        <v>73</v>
      </c>
      <c r="F11" s="38" t="s">
        <v>123</v>
      </c>
      <c r="G11" s="39" t="s">
        <v>151</v>
      </c>
      <c r="H11" s="38" t="s">
        <v>192</v>
      </c>
      <c r="I11" s="39" t="s">
        <v>212</v>
      </c>
      <c r="J11" s="38">
        <v>1</v>
      </c>
      <c r="K11" s="38"/>
    </row>
    <row r="12" spans="1:11" ht="15.75" thickBot="1" x14ac:dyDescent="0.3">
      <c r="A12" s="1"/>
      <c r="B12" s="50">
        <f>ROW(B12) - ROW($B$9)</f>
        <v>3</v>
      </c>
      <c r="C12" s="54" t="s">
        <v>7</v>
      </c>
      <c r="D12" s="36" t="s">
        <v>24</v>
      </c>
      <c r="E12" s="37" t="s">
        <v>74</v>
      </c>
      <c r="F12" s="36" t="s">
        <v>124</v>
      </c>
      <c r="G12" s="37" t="s">
        <v>152</v>
      </c>
      <c r="H12" s="36" t="s">
        <v>193</v>
      </c>
      <c r="I12" s="37" t="s">
        <v>213</v>
      </c>
      <c r="J12" s="36">
        <v>1</v>
      </c>
      <c r="K12" s="36"/>
    </row>
    <row r="13" spans="1:11" ht="15.75" thickBot="1" x14ac:dyDescent="0.3">
      <c r="A13" s="1"/>
      <c r="B13" s="50">
        <f t="shared" si="0"/>
        <v>4</v>
      </c>
      <c r="C13" s="54" t="s">
        <v>7</v>
      </c>
      <c r="D13" s="38" t="s">
        <v>25</v>
      </c>
      <c r="E13" s="39" t="s">
        <v>75</v>
      </c>
      <c r="F13" s="38" t="s">
        <v>124</v>
      </c>
      <c r="G13" s="39" t="s">
        <v>153</v>
      </c>
      <c r="H13" s="38" t="s">
        <v>194</v>
      </c>
      <c r="I13" s="39" t="s">
        <v>214</v>
      </c>
      <c r="J13" s="38">
        <v>2</v>
      </c>
      <c r="K13" s="38"/>
    </row>
    <row r="14" spans="1:11" ht="15.75" thickBot="1" x14ac:dyDescent="0.3">
      <c r="A14" s="1"/>
      <c r="B14" s="50">
        <f>ROW(B14) - ROW($B$9)</f>
        <v>5</v>
      </c>
      <c r="C14" s="54" t="s">
        <v>7</v>
      </c>
      <c r="D14" s="36" t="s">
        <v>26</v>
      </c>
      <c r="E14" s="37" t="s">
        <v>76</v>
      </c>
      <c r="F14" s="36" t="s">
        <v>124</v>
      </c>
      <c r="G14" s="37" t="s">
        <v>154</v>
      </c>
      <c r="H14" s="36" t="s">
        <v>193</v>
      </c>
      <c r="I14" s="37" t="s">
        <v>215</v>
      </c>
      <c r="J14" s="36">
        <v>1</v>
      </c>
      <c r="K14" s="36"/>
    </row>
    <row r="15" spans="1:11" ht="24.75" thickBot="1" x14ac:dyDescent="0.3">
      <c r="A15" s="1"/>
      <c r="B15" s="50">
        <f t="shared" si="0"/>
        <v>6</v>
      </c>
      <c r="C15" s="55" t="s">
        <v>7</v>
      </c>
      <c r="D15" s="38" t="s">
        <v>27</v>
      </c>
      <c r="E15" s="39" t="s">
        <v>77</v>
      </c>
      <c r="F15" s="38" t="s">
        <v>123</v>
      </c>
      <c r="G15" s="39" t="s">
        <v>155</v>
      </c>
      <c r="H15" s="38" t="s">
        <v>191</v>
      </c>
      <c r="I15" s="39" t="s">
        <v>216</v>
      </c>
      <c r="J15" s="38">
        <v>2</v>
      </c>
      <c r="K15" s="38"/>
    </row>
    <row r="16" spans="1:11" ht="36.75" thickBot="1" x14ac:dyDescent="0.3">
      <c r="A16" s="1"/>
      <c r="B16" s="50">
        <f>ROW(B16) - ROW($B$9)</f>
        <v>7</v>
      </c>
      <c r="C16" s="54" t="s">
        <v>7</v>
      </c>
      <c r="D16" s="36" t="s">
        <v>28</v>
      </c>
      <c r="E16" s="37" t="s">
        <v>78</v>
      </c>
      <c r="F16" s="36" t="s">
        <v>122</v>
      </c>
      <c r="G16" s="37" t="s">
        <v>156</v>
      </c>
      <c r="H16" s="36" t="s">
        <v>195</v>
      </c>
      <c r="I16" s="37" t="s">
        <v>217</v>
      </c>
      <c r="J16" s="36">
        <v>2</v>
      </c>
      <c r="K16" s="36"/>
    </row>
    <row r="17" spans="1:11" ht="15.75" thickBot="1" x14ac:dyDescent="0.3">
      <c r="A17" s="1"/>
      <c r="B17" s="50">
        <f t="shared" si="0"/>
        <v>8</v>
      </c>
      <c r="C17" s="55" t="s">
        <v>7</v>
      </c>
      <c r="D17" s="38" t="s">
        <v>29</v>
      </c>
      <c r="E17" s="39" t="s">
        <v>79</v>
      </c>
      <c r="F17" s="38" t="s">
        <v>125</v>
      </c>
      <c r="G17" s="39" t="s">
        <v>157</v>
      </c>
      <c r="H17" s="38" t="s">
        <v>193</v>
      </c>
      <c r="I17" s="39" t="s">
        <v>218</v>
      </c>
      <c r="J17" s="38">
        <v>2</v>
      </c>
      <c r="K17" s="38"/>
    </row>
    <row r="18" spans="1:11" ht="15.75" thickBot="1" x14ac:dyDescent="0.3">
      <c r="A18" s="1"/>
      <c r="B18" s="50">
        <f>ROW(B18) - ROW($B$9)</f>
        <v>9</v>
      </c>
      <c r="C18" s="54" t="s">
        <v>7</v>
      </c>
      <c r="D18" s="36" t="s">
        <v>30</v>
      </c>
      <c r="E18" s="37" t="s">
        <v>80</v>
      </c>
      <c r="F18" s="36" t="s">
        <v>126</v>
      </c>
      <c r="G18" s="37" t="s">
        <v>158</v>
      </c>
      <c r="H18" s="36" t="s">
        <v>193</v>
      </c>
      <c r="I18" s="37" t="s">
        <v>219</v>
      </c>
      <c r="J18" s="36">
        <v>1</v>
      </c>
      <c r="K18" s="36"/>
    </row>
    <row r="19" spans="1:11" ht="15.75" thickBot="1" x14ac:dyDescent="0.3">
      <c r="A19" s="1"/>
      <c r="B19" s="50">
        <f t="shared" si="0"/>
        <v>10</v>
      </c>
      <c r="C19" s="55" t="s">
        <v>7</v>
      </c>
      <c r="D19" s="38" t="s">
        <v>31</v>
      </c>
      <c r="E19" s="39" t="s">
        <v>81</v>
      </c>
      <c r="F19" s="38" t="s">
        <v>126</v>
      </c>
      <c r="G19" s="39" t="s">
        <v>159</v>
      </c>
      <c r="H19" s="38" t="s">
        <v>193</v>
      </c>
      <c r="I19" s="39" t="s">
        <v>214</v>
      </c>
      <c r="J19" s="38">
        <v>3</v>
      </c>
      <c r="K19" s="38"/>
    </row>
    <row r="20" spans="1:11" ht="15.75" thickBot="1" x14ac:dyDescent="0.3">
      <c r="A20" s="1"/>
      <c r="B20" s="50">
        <f>ROW(B20) - ROW($B$9)</f>
        <v>11</v>
      </c>
      <c r="C20" s="54" t="s">
        <v>7</v>
      </c>
      <c r="D20" s="36" t="s">
        <v>32</v>
      </c>
      <c r="E20" s="37" t="s">
        <v>82</v>
      </c>
      <c r="F20" s="36" t="s">
        <v>126</v>
      </c>
      <c r="G20" s="37" t="s">
        <v>160</v>
      </c>
      <c r="H20" s="36" t="s">
        <v>196</v>
      </c>
      <c r="I20" s="37" t="s">
        <v>220</v>
      </c>
      <c r="J20" s="36">
        <v>1</v>
      </c>
      <c r="K20" s="36"/>
    </row>
    <row r="21" spans="1:11" ht="36.75" thickBot="1" x14ac:dyDescent="0.3">
      <c r="A21" s="1"/>
      <c r="B21" s="50">
        <f t="shared" si="0"/>
        <v>12</v>
      </c>
      <c r="C21" s="55" t="s">
        <v>7</v>
      </c>
      <c r="D21" s="38" t="s">
        <v>33</v>
      </c>
      <c r="E21" s="39" t="s">
        <v>83</v>
      </c>
      <c r="F21" s="38" t="s">
        <v>247</v>
      </c>
      <c r="G21" s="39" t="s">
        <v>127</v>
      </c>
      <c r="H21" s="38" t="s">
        <v>197</v>
      </c>
      <c r="I21" s="39" t="s">
        <v>221</v>
      </c>
      <c r="J21" s="38">
        <v>1</v>
      </c>
      <c r="K21" s="38"/>
    </row>
    <row r="22" spans="1:11" ht="24.75" thickBot="1" x14ac:dyDescent="0.3">
      <c r="A22" s="1"/>
      <c r="B22" s="50">
        <f>ROW(B22) - ROW($B$9)</f>
        <v>13</v>
      </c>
      <c r="C22" s="54" t="s">
        <v>7</v>
      </c>
      <c r="D22" s="36" t="s">
        <v>34</v>
      </c>
      <c r="E22" s="37" t="s">
        <v>84</v>
      </c>
      <c r="F22" s="36" t="s">
        <v>126</v>
      </c>
      <c r="G22" s="37" t="s">
        <v>161</v>
      </c>
      <c r="H22" s="36" t="s">
        <v>193</v>
      </c>
      <c r="I22" s="37" t="s">
        <v>222</v>
      </c>
      <c r="J22" s="36">
        <v>4</v>
      </c>
      <c r="K22" s="36"/>
    </row>
    <row r="23" spans="1:11" ht="24.75" thickBot="1" x14ac:dyDescent="0.3">
      <c r="A23" s="1"/>
      <c r="B23" s="50">
        <f t="shared" si="0"/>
        <v>14</v>
      </c>
      <c r="C23" s="55" t="s">
        <v>7</v>
      </c>
      <c r="D23" s="38" t="s">
        <v>35</v>
      </c>
      <c r="E23" s="39" t="s">
        <v>85</v>
      </c>
      <c r="F23" s="38" t="s">
        <v>126</v>
      </c>
      <c r="G23" s="39" t="s">
        <v>162</v>
      </c>
      <c r="H23" s="38" t="s">
        <v>193</v>
      </c>
      <c r="I23" s="39" t="s">
        <v>223</v>
      </c>
      <c r="J23" s="38">
        <v>2</v>
      </c>
      <c r="K23" s="38"/>
    </row>
    <row r="24" spans="1:11" ht="15.75" thickBot="1" x14ac:dyDescent="0.3">
      <c r="A24" s="1"/>
      <c r="B24" s="50">
        <f>ROW(B24) - ROW($B$9)</f>
        <v>15</v>
      </c>
      <c r="C24" s="55" t="s">
        <v>7</v>
      </c>
      <c r="D24" s="36" t="s">
        <v>36</v>
      </c>
      <c r="E24" s="37" t="s">
        <v>86</v>
      </c>
      <c r="F24" s="36" t="s">
        <v>126</v>
      </c>
      <c r="G24" s="37" t="s">
        <v>163</v>
      </c>
      <c r="H24" s="36" t="s">
        <v>194</v>
      </c>
      <c r="I24" s="37" t="s">
        <v>224</v>
      </c>
      <c r="J24" s="36">
        <v>4</v>
      </c>
      <c r="K24" s="36"/>
    </row>
    <row r="25" spans="1:11" ht="15.75" thickBot="1" x14ac:dyDescent="0.3">
      <c r="A25" s="1"/>
      <c r="B25" s="50">
        <f t="shared" si="0"/>
        <v>16</v>
      </c>
      <c r="C25" s="55" t="s">
        <v>7</v>
      </c>
      <c r="D25" s="38" t="s">
        <v>37</v>
      </c>
      <c r="E25" s="39" t="s">
        <v>87</v>
      </c>
      <c r="F25" s="38" t="s">
        <v>128</v>
      </c>
      <c r="G25" s="39" t="s">
        <v>164</v>
      </c>
      <c r="H25" s="38" t="s">
        <v>196</v>
      </c>
      <c r="I25" s="39" t="s">
        <v>225</v>
      </c>
      <c r="J25" s="38">
        <v>8</v>
      </c>
      <c r="K25" s="38"/>
    </row>
    <row r="26" spans="1:11" ht="15.75" thickBot="1" x14ac:dyDescent="0.3">
      <c r="A26" s="1"/>
      <c r="B26" s="50">
        <f>ROW(B26) - ROW($B$9)</f>
        <v>17</v>
      </c>
      <c r="C26" s="54" t="s">
        <v>7</v>
      </c>
      <c r="D26" s="36" t="s">
        <v>38</v>
      </c>
      <c r="E26" s="37" t="s">
        <v>88</v>
      </c>
      <c r="F26" s="36" t="s">
        <v>128</v>
      </c>
      <c r="G26" s="37" t="s">
        <v>249</v>
      </c>
      <c r="H26" s="38" t="s">
        <v>193</v>
      </c>
      <c r="I26" s="37" t="s">
        <v>220</v>
      </c>
      <c r="J26" s="36">
        <v>2</v>
      </c>
      <c r="K26" s="36"/>
    </row>
    <row r="27" spans="1:11" ht="15.75" thickBot="1" x14ac:dyDescent="0.3">
      <c r="A27" s="1"/>
      <c r="B27" s="50">
        <f t="shared" si="0"/>
        <v>18</v>
      </c>
      <c r="C27" s="54" t="s">
        <v>7</v>
      </c>
      <c r="D27" s="38" t="s">
        <v>39</v>
      </c>
      <c r="E27" s="39" t="s">
        <v>89</v>
      </c>
      <c r="F27" s="38" t="s">
        <v>128</v>
      </c>
      <c r="G27" s="39" t="s">
        <v>165</v>
      </c>
      <c r="H27" s="38" t="s">
        <v>193</v>
      </c>
      <c r="I27" s="39" t="s">
        <v>224</v>
      </c>
      <c r="J27" s="38">
        <v>1</v>
      </c>
      <c r="K27" s="38"/>
    </row>
    <row r="28" spans="1:11" ht="15.75" thickBot="1" x14ac:dyDescent="0.3">
      <c r="A28" s="1"/>
      <c r="B28" s="50">
        <f>ROW(B28) - ROW($B$9)</f>
        <v>19</v>
      </c>
      <c r="C28" s="54" t="s">
        <v>9</v>
      </c>
      <c r="D28" s="36" t="s">
        <v>40</v>
      </c>
      <c r="E28" s="37" t="s">
        <v>90</v>
      </c>
      <c r="F28" s="36" t="s">
        <v>129</v>
      </c>
      <c r="G28" s="37" t="s">
        <v>166</v>
      </c>
      <c r="H28" s="36" t="s">
        <v>198</v>
      </c>
      <c r="I28" s="37" t="s">
        <v>244</v>
      </c>
      <c r="J28" s="36">
        <v>1</v>
      </c>
      <c r="K28" s="36"/>
    </row>
    <row r="29" spans="1:11" ht="15.75" thickBot="1" x14ac:dyDescent="0.3">
      <c r="A29" s="1"/>
      <c r="B29" s="50">
        <f t="shared" si="0"/>
        <v>20</v>
      </c>
      <c r="C29" s="55" t="s">
        <v>8</v>
      </c>
      <c r="D29" s="38" t="s">
        <v>41</v>
      </c>
      <c r="E29" s="39" t="s">
        <v>91</v>
      </c>
      <c r="F29" s="38" t="s">
        <v>129</v>
      </c>
      <c r="G29" s="39" t="s">
        <v>167</v>
      </c>
      <c r="H29" s="38" t="s">
        <v>199</v>
      </c>
      <c r="I29" s="37" t="s">
        <v>244</v>
      </c>
      <c r="J29" s="38">
        <v>1</v>
      </c>
      <c r="K29" s="38"/>
    </row>
    <row r="30" spans="1:11" ht="24.75" thickBot="1" x14ac:dyDescent="0.3">
      <c r="A30" s="1"/>
      <c r="B30" s="50">
        <f>ROW(B30) - ROW($B$9)</f>
        <v>21</v>
      </c>
      <c r="C30" s="54" t="s">
        <v>9</v>
      </c>
      <c r="D30" s="36" t="s">
        <v>42</v>
      </c>
      <c r="E30" s="37" t="s">
        <v>92</v>
      </c>
      <c r="F30" s="36" t="s">
        <v>129</v>
      </c>
      <c r="G30" s="37" t="s">
        <v>168</v>
      </c>
      <c r="H30" s="36" t="s">
        <v>200</v>
      </c>
      <c r="I30" s="37" t="s">
        <v>244</v>
      </c>
      <c r="J30" s="36">
        <v>1</v>
      </c>
      <c r="K30" s="36"/>
    </row>
    <row r="31" spans="1:11" ht="36.75" thickBot="1" x14ac:dyDescent="0.3">
      <c r="A31" s="1"/>
      <c r="B31" s="50">
        <f t="shared" si="0"/>
        <v>22</v>
      </c>
      <c r="C31" s="55" t="s">
        <v>10</v>
      </c>
      <c r="D31" s="38" t="s">
        <v>43</v>
      </c>
      <c r="E31" s="39" t="s">
        <v>93</v>
      </c>
      <c r="F31" s="38" t="s">
        <v>130</v>
      </c>
      <c r="G31" s="39" t="s">
        <v>226</v>
      </c>
      <c r="H31" s="38" t="s">
        <v>248</v>
      </c>
      <c r="I31" s="37" t="s">
        <v>244</v>
      </c>
      <c r="J31" s="38">
        <v>1</v>
      </c>
      <c r="K31" s="38"/>
    </row>
    <row r="32" spans="1:11" ht="36.75" thickBot="1" x14ac:dyDescent="0.3">
      <c r="A32" s="1"/>
      <c r="B32" s="50">
        <f>ROW(B32) - ROW($B$9)</f>
        <v>23</v>
      </c>
      <c r="C32" s="54" t="s">
        <v>10</v>
      </c>
      <c r="D32" s="36" t="s">
        <v>44</v>
      </c>
      <c r="E32" s="37" t="s">
        <v>94</v>
      </c>
      <c r="F32" s="36" t="s">
        <v>130</v>
      </c>
      <c r="G32" s="37" t="s">
        <v>227</v>
      </c>
      <c r="H32" s="36" t="s">
        <v>248</v>
      </c>
      <c r="I32" s="37" t="s">
        <v>244</v>
      </c>
      <c r="J32" s="36">
        <v>1</v>
      </c>
      <c r="K32" s="36"/>
    </row>
    <row r="33" spans="1:11" ht="24.75" thickBot="1" x14ac:dyDescent="0.3">
      <c r="A33" s="1"/>
      <c r="B33" s="50">
        <f t="shared" si="0"/>
        <v>24</v>
      </c>
      <c r="C33" s="55" t="s">
        <v>9</v>
      </c>
      <c r="D33" s="38" t="s">
        <v>45</v>
      </c>
      <c r="E33" s="39" t="s">
        <v>95</v>
      </c>
      <c r="F33" s="38" t="s">
        <v>131</v>
      </c>
      <c r="G33" s="39" t="s">
        <v>169</v>
      </c>
      <c r="H33" s="38" t="s">
        <v>200</v>
      </c>
      <c r="I33" s="37" t="s">
        <v>244</v>
      </c>
      <c r="J33" s="38">
        <v>1</v>
      </c>
      <c r="K33" s="38"/>
    </row>
    <row r="34" spans="1:11" ht="48.75" thickBot="1" x14ac:dyDescent="0.3">
      <c r="A34" s="1"/>
      <c r="B34" s="50">
        <f>ROW(B34) - ROW($B$9)</f>
        <v>25</v>
      </c>
      <c r="C34" s="54" t="s">
        <v>11</v>
      </c>
      <c r="D34" s="36" t="s">
        <v>46</v>
      </c>
      <c r="E34" s="37" t="s">
        <v>96</v>
      </c>
      <c r="F34" s="36" t="s">
        <v>132</v>
      </c>
      <c r="G34" s="37" t="s">
        <v>170</v>
      </c>
      <c r="H34" s="36" t="s">
        <v>201</v>
      </c>
      <c r="I34" s="37" t="s">
        <v>244</v>
      </c>
      <c r="J34" s="36">
        <v>2</v>
      </c>
      <c r="K34" s="36"/>
    </row>
    <row r="35" spans="1:11" ht="36.75" thickBot="1" x14ac:dyDescent="0.3">
      <c r="A35" s="1"/>
      <c r="B35" s="50">
        <f t="shared" si="0"/>
        <v>26</v>
      </c>
      <c r="C35" s="55" t="s">
        <v>12</v>
      </c>
      <c r="D35" s="38" t="s">
        <v>47</v>
      </c>
      <c r="E35" s="39" t="s">
        <v>97</v>
      </c>
      <c r="F35" s="38" t="s">
        <v>133</v>
      </c>
      <c r="G35" s="39" t="s">
        <v>133</v>
      </c>
      <c r="H35" s="38" t="s">
        <v>202</v>
      </c>
      <c r="I35" s="37" t="s">
        <v>244</v>
      </c>
      <c r="J35" s="38">
        <v>2</v>
      </c>
      <c r="K35" s="38"/>
    </row>
    <row r="36" spans="1:11" ht="60.75" thickBot="1" x14ac:dyDescent="0.3">
      <c r="A36" s="1"/>
      <c r="B36" s="50">
        <f>ROW(B36) - ROW($B$9)</f>
        <v>27</v>
      </c>
      <c r="C36" s="54" t="s">
        <v>11</v>
      </c>
      <c r="D36" s="36" t="s">
        <v>48</v>
      </c>
      <c r="E36" s="37" t="s">
        <v>98</v>
      </c>
      <c r="F36" s="36" t="s">
        <v>134</v>
      </c>
      <c r="G36" s="37" t="s">
        <v>171</v>
      </c>
      <c r="H36" s="36" t="s">
        <v>203</v>
      </c>
      <c r="I36" s="37" t="s">
        <v>244</v>
      </c>
      <c r="J36" s="36">
        <v>1</v>
      </c>
      <c r="K36" s="36"/>
    </row>
    <row r="37" spans="1:11" ht="15.75" thickBot="1" x14ac:dyDescent="0.3">
      <c r="A37" s="1"/>
      <c r="B37" s="50">
        <f t="shared" si="0"/>
        <v>28</v>
      </c>
      <c r="C37" s="55" t="s">
        <v>13</v>
      </c>
      <c r="D37" s="38" t="s">
        <v>49</v>
      </c>
      <c r="E37" s="39" t="s">
        <v>99</v>
      </c>
      <c r="F37" s="38" t="s">
        <v>135</v>
      </c>
      <c r="G37" s="39" t="s">
        <v>135</v>
      </c>
      <c r="H37" s="38" t="s">
        <v>204</v>
      </c>
      <c r="I37" s="37" t="s">
        <v>244</v>
      </c>
      <c r="J37" s="38">
        <v>1</v>
      </c>
      <c r="K37" s="38"/>
    </row>
    <row r="38" spans="1:11" ht="48.75" thickBot="1" x14ac:dyDescent="0.3">
      <c r="A38" s="1"/>
      <c r="B38" s="50">
        <f>ROW(B38) - ROW($B$9)</f>
        <v>29</v>
      </c>
      <c r="C38" s="54" t="s">
        <v>11</v>
      </c>
      <c r="D38" s="36" t="s">
        <v>50</v>
      </c>
      <c r="E38" s="37" t="s">
        <v>100</v>
      </c>
      <c r="F38" s="36" t="s">
        <v>136</v>
      </c>
      <c r="G38" s="37" t="s">
        <v>172</v>
      </c>
      <c r="H38" s="36" t="s">
        <v>201</v>
      </c>
      <c r="I38" s="37" t="s">
        <v>244</v>
      </c>
      <c r="J38" s="36">
        <v>1</v>
      </c>
      <c r="K38" s="36"/>
    </row>
    <row r="39" spans="1:11" ht="24.75" thickBot="1" x14ac:dyDescent="0.3">
      <c r="A39" s="1"/>
      <c r="B39" s="50">
        <f t="shared" si="0"/>
        <v>30</v>
      </c>
      <c r="C39" s="55" t="s">
        <v>14</v>
      </c>
      <c r="D39" s="38" t="s">
        <v>51</v>
      </c>
      <c r="E39" s="39" t="s">
        <v>101</v>
      </c>
      <c r="F39" s="38" t="s">
        <v>247</v>
      </c>
      <c r="G39" s="39" t="s">
        <v>137</v>
      </c>
      <c r="H39" s="38" t="s">
        <v>205</v>
      </c>
      <c r="I39" s="39" t="s">
        <v>228</v>
      </c>
      <c r="J39" s="38">
        <v>1</v>
      </c>
      <c r="K39" s="38"/>
    </row>
    <row r="40" spans="1:11" ht="15.75" thickBot="1" x14ac:dyDescent="0.3">
      <c r="A40" s="1"/>
      <c r="B40" s="50">
        <f>ROW(B40) - ROW($B$9)</f>
        <v>31</v>
      </c>
      <c r="C40" s="54" t="s">
        <v>14</v>
      </c>
      <c r="D40" s="36" t="s">
        <v>52</v>
      </c>
      <c r="E40" s="37" t="s">
        <v>102</v>
      </c>
      <c r="F40" s="38" t="s">
        <v>247</v>
      </c>
      <c r="G40" s="37" t="s">
        <v>138</v>
      </c>
      <c r="H40" s="36" t="s">
        <v>196</v>
      </c>
      <c r="I40" s="37" t="s">
        <v>229</v>
      </c>
      <c r="J40" s="36">
        <v>1</v>
      </c>
      <c r="K40" s="36"/>
    </row>
    <row r="41" spans="1:11" ht="15.75" thickBot="1" x14ac:dyDescent="0.3">
      <c r="A41" s="1"/>
      <c r="B41" s="50">
        <f t="shared" si="0"/>
        <v>32</v>
      </c>
      <c r="C41" s="55" t="s">
        <v>15</v>
      </c>
      <c r="D41" s="57" t="s">
        <v>53</v>
      </c>
      <c r="E41" s="58" t="s">
        <v>103</v>
      </c>
      <c r="F41" s="57" t="s">
        <v>247</v>
      </c>
      <c r="G41" s="57" t="s">
        <v>139</v>
      </c>
      <c r="H41" s="57" t="s">
        <v>244</v>
      </c>
      <c r="I41" s="58" t="s">
        <v>244</v>
      </c>
      <c r="J41" s="57">
        <v>3</v>
      </c>
      <c r="K41" s="59" t="s">
        <v>250</v>
      </c>
    </row>
    <row r="42" spans="1:11" ht="15.75" thickBot="1" x14ac:dyDescent="0.3">
      <c r="A42" s="1"/>
      <c r="B42" s="50">
        <f>ROW(B42) - ROW($B$9)</f>
        <v>33</v>
      </c>
      <c r="C42" s="54" t="s">
        <v>16</v>
      </c>
      <c r="D42" s="36" t="s">
        <v>54</v>
      </c>
      <c r="E42" s="37" t="s">
        <v>104</v>
      </c>
      <c r="F42" s="36" t="s">
        <v>140</v>
      </c>
      <c r="G42" s="37" t="s">
        <v>173</v>
      </c>
      <c r="H42" s="36" t="s">
        <v>206</v>
      </c>
      <c r="I42" s="37" t="s">
        <v>244</v>
      </c>
      <c r="J42" s="36">
        <v>1</v>
      </c>
      <c r="K42" s="36"/>
    </row>
    <row r="43" spans="1:11" ht="15.75" thickBot="1" x14ac:dyDescent="0.3">
      <c r="A43" s="1"/>
      <c r="B43" s="50">
        <f t="shared" si="0"/>
        <v>34</v>
      </c>
      <c r="C43" s="55" t="s">
        <v>17</v>
      </c>
      <c r="D43" s="38" t="s">
        <v>55</v>
      </c>
      <c r="E43" s="39" t="s">
        <v>105</v>
      </c>
      <c r="F43" s="38" t="s">
        <v>141</v>
      </c>
      <c r="G43" s="39" t="s">
        <v>174</v>
      </c>
      <c r="H43" s="38" t="s">
        <v>193</v>
      </c>
      <c r="I43" s="39" t="s">
        <v>230</v>
      </c>
      <c r="J43" s="38">
        <v>1</v>
      </c>
      <c r="K43" s="38"/>
    </row>
    <row r="44" spans="1:11" ht="15.75" thickBot="1" x14ac:dyDescent="0.3">
      <c r="A44" s="1"/>
      <c r="B44" s="50">
        <f>ROW(B44) - ROW($B$9)</f>
        <v>35</v>
      </c>
      <c r="C44" s="54" t="s">
        <v>17</v>
      </c>
      <c r="D44" s="36" t="s">
        <v>56</v>
      </c>
      <c r="E44" s="37" t="s">
        <v>106</v>
      </c>
      <c r="F44" s="36" t="s">
        <v>141</v>
      </c>
      <c r="G44" s="37" t="s">
        <v>175</v>
      </c>
      <c r="H44" s="36" t="s">
        <v>193</v>
      </c>
      <c r="I44" s="37" t="s">
        <v>231</v>
      </c>
      <c r="J44" s="36">
        <v>1</v>
      </c>
      <c r="K44" s="36"/>
    </row>
    <row r="45" spans="1:11" ht="15.75" thickBot="1" x14ac:dyDescent="0.3">
      <c r="A45" s="1"/>
      <c r="B45" s="50">
        <f t="shared" si="0"/>
        <v>36</v>
      </c>
      <c r="C45" s="55" t="s">
        <v>17</v>
      </c>
      <c r="D45" s="38" t="s">
        <v>57</v>
      </c>
      <c r="E45" s="39" t="s">
        <v>107</v>
      </c>
      <c r="F45" s="38" t="s">
        <v>141</v>
      </c>
      <c r="G45" s="39" t="s">
        <v>176</v>
      </c>
      <c r="H45" s="38" t="s">
        <v>193</v>
      </c>
      <c r="I45" s="39" t="s">
        <v>232</v>
      </c>
      <c r="J45" s="38">
        <v>1</v>
      </c>
      <c r="K45" s="38"/>
    </row>
    <row r="46" spans="1:11" ht="15.75" thickBot="1" x14ac:dyDescent="0.3">
      <c r="A46" s="1"/>
      <c r="B46" s="50">
        <f>ROW(B46) - ROW($B$9)</f>
        <v>37</v>
      </c>
      <c r="C46" s="54" t="s">
        <v>17</v>
      </c>
      <c r="D46" s="36" t="s">
        <v>58</v>
      </c>
      <c r="E46" s="37" t="s">
        <v>108</v>
      </c>
      <c r="F46" s="36" t="s">
        <v>142</v>
      </c>
      <c r="G46" s="37" t="s">
        <v>177</v>
      </c>
      <c r="H46" s="36" t="s">
        <v>193</v>
      </c>
      <c r="I46" s="37" t="s">
        <v>233</v>
      </c>
      <c r="J46" s="36">
        <v>2</v>
      </c>
      <c r="K46" s="36"/>
    </row>
    <row r="47" spans="1:11" ht="15.75" thickBot="1" x14ac:dyDescent="0.3">
      <c r="A47" s="1"/>
      <c r="B47" s="50">
        <f t="shared" si="0"/>
        <v>38</v>
      </c>
      <c r="C47" s="54" t="s">
        <v>17</v>
      </c>
      <c r="D47" s="38" t="s">
        <v>59</v>
      </c>
      <c r="E47" s="39" t="s">
        <v>109</v>
      </c>
      <c r="F47" s="38" t="s">
        <v>141</v>
      </c>
      <c r="G47" s="39" t="s">
        <v>178</v>
      </c>
      <c r="H47" s="38" t="s">
        <v>193</v>
      </c>
      <c r="I47" s="39" t="s">
        <v>234</v>
      </c>
      <c r="J47" s="38">
        <v>1</v>
      </c>
      <c r="K47" s="38"/>
    </row>
    <row r="48" spans="1:11" ht="15.75" thickBot="1" x14ac:dyDescent="0.3">
      <c r="A48" s="1"/>
      <c r="B48" s="50">
        <f>ROW(B48) - ROW($B$9)</f>
        <v>39</v>
      </c>
      <c r="C48" s="54" t="s">
        <v>17</v>
      </c>
      <c r="D48" s="36" t="s">
        <v>60</v>
      </c>
      <c r="E48" s="37" t="s">
        <v>110</v>
      </c>
      <c r="F48" s="36" t="s">
        <v>143</v>
      </c>
      <c r="G48" s="37" t="s">
        <v>179</v>
      </c>
      <c r="H48" s="36" t="s">
        <v>193</v>
      </c>
      <c r="I48" s="37" t="s">
        <v>235</v>
      </c>
      <c r="J48" s="36">
        <v>8</v>
      </c>
      <c r="K48" s="36"/>
    </row>
    <row r="49" spans="1:11" ht="15.75" thickBot="1" x14ac:dyDescent="0.3">
      <c r="A49" s="1"/>
      <c r="B49" s="50">
        <f t="shared" si="0"/>
        <v>40</v>
      </c>
      <c r="C49" s="54" t="s">
        <v>17</v>
      </c>
      <c r="D49" s="38" t="s">
        <v>61</v>
      </c>
      <c r="E49" s="39" t="s">
        <v>111</v>
      </c>
      <c r="F49" s="38" t="s">
        <v>143</v>
      </c>
      <c r="G49" s="39" t="s">
        <v>180</v>
      </c>
      <c r="H49" s="38" t="s">
        <v>193</v>
      </c>
      <c r="I49" s="39" t="s">
        <v>236</v>
      </c>
      <c r="J49" s="38">
        <v>4</v>
      </c>
      <c r="K49" s="38"/>
    </row>
    <row r="50" spans="1:11" ht="26.25" thickBot="1" x14ac:dyDescent="0.3">
      <c r="A50" s="1"/>
      <c r="B50" s="50">
        <f>ROW(B50) - ROW($B$9)</f>
        <v>41</v>
      </c>
      <c r="C50" s="54" t="s">
        <v>18</v>
      </c>
      <c r="D50" s="36" t="s">
        <v>62</v>
      </c>
      <c r="E50" s="37" t="s">
        <v>112</v>
      </c>
      <c r="F50" s="36" t="s">
        <v>144</v>
      </c>
      <c r="G50" s="37" t="s">
        <v>181</v>
      </c>
      <c r="H50" s="36" t="s">
        <v>207</v>
      </c>
      <c r="I50" s="37" t="s">
        <v>237</v>
      </c>
      <c r="J50" s="36">
        <v>2</v>
      </c>
      <c r="K50" s="36"/>
    </row>
    <row r="51" spans="1:11" ht="15.75" thickBot="1" x14ac:dyDescent="0.3">
      <c r="A51" s="1"/>
      <c r="B51" s="50">
        <f t="shared" si="0"/>
        <v>42</v>
      </c>
      <c r="C51" s="55" t="s">
        <v>17</v>
      </c>
      <c r="D51" s="38" t="s">
        <v>63</v>
      </c>
      <c r="E51" s="39" t="s">
        <v>113</v>
      </c>
      <c r="F51" s="38" t="s">
        <v>142</v>
      </c>
      <c r="G51" s="39" t="s">
        <v>182</v>
      </c>
      <c r="H51" s="38" t="s">
        <v>193</v>
      </c>
      <c r="I51" s="39" t="s">
        <v>238</v>
      </c>
      <c r="J51" s="38">
        <v>8</v>
      </c>
      <c r="K51" s="38"/>
    </row>
    <row r="52" spans="1:11" ht="15.75" thickBot="1" x14ac:dyDescent="0.3">
      <c r="A52" s="1"/>
      <c r="B52" s="50">
        <f>ROW(B52) - ROW($B$9)</f>
        <v>43</v>
      </c>
      <c r="C52" s="54" t="s">
        <v>17</v>
      </c>
      <c r="D52" s="36" t="s">
        <v>64</v>
      </c>
      <c r="E52" s="37" t="s">
        <v>114</v>
      </c>
      <c r="F52" s="36" t="s">
        <v>142</v>
      </c>
      <c r="G52" s="37" t="s">
        <v>183</v>
      </c>
      <c r="H52" s="36" t="s">
        <v>193</v>
      </c>
      <c r="I52" s="37" t="s">
        <v>239</v>
      </c>
      <c r="J52" s="36">
        <v>2</v>
      </c>
      <c r="K52" s="36"/>
    </row>
    <row r="53" spans="1:11" ht="15.75" thickBot="1" x14ac:dyDescent="0.3">
      <c r="A53" s="1"/>
      <c r="B53" s="50">
        <f t="shared" si="0"/>
        <v>44</v>
      </c>
      <c r="C53" s="55" t="s">
        <v>17</v>
      </c>
      <c r="D53" s="38" t="s">
        <v>65</v>
      </c>
      <c r="E53" s="39" t="s">
        <v>115</v>
      </c>
      <c r="F53" s="38" t="s">
        <v>142</v>
      </c>
      <c r="G53" s="39" t="s">
        <v>184</v>
      </c>
      <c r="H53" s="38" t="s">
        <v>193</v>
      </c>
      <c r="I53" s="39" t="s">
        <v>240</v>
      </c>
      <c r="J53" s="38">
        <v>1</v>
      </c>
      <c r="K53" s="38"/>
    </row>
    <row r="54" spans="1:11" ht="15.75" thickBot="1" x14ac:dyDescent="0.3">
      <c r="A54" s="1"/>
      <c r="B54" s="50">
        <f>ROW(B54) - ROW($B$9)</f>
        <v>45</v>
      </c>
      <c r="C54" s="54" t="s">
        <v>17</v>
      </c>
      <c r="D54" s="36" t="s">
        <v>66</v>
      </c>
      <c r="E54" s="37" t="s">
        <v>116</v>
      </c>
      <c r="F54" s="36" t="s">
        <v>142</v>
      </c>
      <c r="G54" s="37" t="s">
        <v>185</v>
      </c>
      <c r="H54" s="36" t="s">
        <v>193</v>
      </c>
      <c r="I54" s="37" t="s">
        <v>232</v>
      </c>
      <c r="J54" s="36">
        <v>1</v>
      </c>
      <c r="K54" s="36"/>
    </row>
    <row r="55" spans="1:11" ht="15.75" thickBot="1" x14ac:dyDescent="0.3">
      <c r="A55" s="1"/>
      <c r="B55" s="50">
        <f t="shared" si="0"/>
        <v>46</v>
      </c>
      <c r="C55" s="55" t="s">
        <v>19</v>
      </c>
      <c r="D55" s="38" t="s">
        <v>67</v>
      </c>
      <c r="E55" s="39" t="s">
        <v>117</v>
      </c>
      <c r="F55" s="38" t="s">
        <v>145</v>
      </c>
      <c r="G55" s="39" t="s">
        <v>186</v>
      </c>
      <c r="H55" s="38" t="s">
        <v>208</v>
      </c>
      <c r="I55" s="39" t="s">
        <v>244</v>
      </c>
      <c r="J55" s="38">
        <v>1</v>
      </c>
      <c r="K55" s="38"/>
    </row>
    <row r="56" spans="1:11" ht="15.75" thickBot="1" x14ac:dyDescent="0.3">
      <c r="A56" s="1"/>
      <c r="B56" s="50">
        <f>ROW(B56) - ROW($B$9)</f>
        <v>47</v>
      </c>
      <c r="C56" s="54" t="s">
        <v>19</v>
      </c>
      <c r="D56" s="36" t="s">
        <v>68</v>
      </c>
      <c r="E56" s="37" t="s">
        <v>118</v>
      </c>
      <c r="F56" s="36" t="s">
        <v>146</v>
      </c>
      <c r="G56" s="37" t="s">
        <v>187</v>
      </c>
      <c r="H56" s="36" t="s">
        <v>209</v>
      </c>
      <c r="I56" s="37" t="s">
        <v>244</v>
      </c>
      <c r="J56" s="36">
        <v>1</v>
      </c>
      <c r="K56" s="36"/>
    </row>
    <row r="57" spans="1:11" ht="15.75" thickBot="1" x14ac:dyDescent="0.3">
      <c r="A57" s="1"/>
      <c r="B57" s="50">
        <f t="shared" si="0"/>
        <v>48</v>
      </c>
      <c r="C57" s="55" t="s">
        <v>19</v>
      </c>
      <c r="D57" s="38" t="s">
        <v>69</v>
      </c>
      <c r="E57" s="39" t="s">
        <v>119</v>
      </c>
      <c r="F57" s="38" t="s">
        <v>147</v>
      </c>
      <c r="G57" s="39" t="s">
        <v>188</v>
      </c>
      <c r="H57" s="38" t="s">
        <v>210</v>
      </c>
      <c r="I57" s="39" t="s">
        <v>244</v>
      </c>
      <c r="J57" s="38">
        <v>1</v>
      </c>
      <c r="K57" s="38"/>
    </row>
    <row r="58" spans="1:11" ht="24.75" thickBot="1" x14ac:dyDescent="0.3">
      <c r="A58" s="1"/>
      <c r="B58" s="50">
        <f>ROW(B58) - ROW($B$9)</f>
        <v>49</v>
      </c>
      <c r="C58" s="54" t="s">
        <v>20</v>
      </c>
      <c r="D58" s="36" t="s">
        <v>70</v>
      </c>
      <c r="E58" s="37" t="s">
        <v>120</v>
      </c>
      <c r="F58" s="36" t="s">
        <v>148</v>
      </c>
      <c r="G58" s="37" t="s">
        <v>189</v>
      </c>
      <c r="H58" s="36" t="s">
        <v>211</v>
      </c>
      <c r="I58" s="37" t="s">
        <v>244</v>
      </c>
      <c r="J58" s="36">
        <v>4</v>
      </c>
      <c r="K58" s="36"/>
    </row>
    <row r="59" spans="1:11" x14ac:dyDescent="0.25">
      <c r="A59" s="1"/>
      <c r="B59" s="31"/>
      <c r="C59" s="48"/>
      <c r="D59" s="32"/>
      <c r="E59" s="33"/>
      <c r="F59" s="34"/>
      <c r="G59" s="35"/>
      <c r="H59" s="34"/>
      <c r="I59" s="35"/>
      <c r="J59" s="35"/>
      <c r="K59" s="41"/>
    </row>
    <row r="60" spans="1:11" ht="15.75" thickBot="1" x14ac:dyDescent="0.3">
      <c r="A60" s="1"/>
      <c r="B60" s="24"/>
      <c r="C60" s="49"/>
      <c r="D60" s="8"/>
      <c r="E60" s="9"/>
      <c r="F60" s="9"/>
      <c r="G60" s="9"/>
      <c r="H60" s="9"/>
      <c r="I60" s="9"/>
      <c r="J60" s="9"/>
      <c r="K60" s="42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2023-12-19T12:38:18Z</dcterms:modified>
</cp:coreProperties>
</file>