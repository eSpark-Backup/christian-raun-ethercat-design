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790979A6-2E27-47B4-AC3E-43B85D4D8B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M19" i="1"/>
  <c r="M15" i="1"/>
  <c r="M4" i="1"/>
  <c r="M5" i="1"/>
  <c r="M27" i="1"/>
  <c r="M24" i="1"/>
  <c r="M25" i="1"/>
  <c r="M26" i="1"/>
  <c r="M20" i="1"/>
  <c r="M23" i="1"/>
  <c r="M6" i="1"/>
  <c r="M7" i="1"/>
  <c r="M8" i="1"/>
  <c r="M9" i="1"/>
  <c r="M10" i="1"/>
  <c r="M11" i="1"/>
  <c r="M12" i="1"/>
  <c r="M13" i="1"/>
  <c r="M14" i="1"/>
  <c r="M17" i="1"/>
  <c r="M18" i="1"/>
  <c r="M21" i="1"/>
  <c r="M22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3" i="1"/>
</calcChain>
</file>

<file path=xl/sharedStrings.xml><?xml version="1.0" encoding="utf-8"?>
<sst xmlns="http://schemas.openxmlformats.org/spreadsheetml/2006/main" count="374" uniqueCount="249">
  <si>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</si>
  <si>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</si>
  <si>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</si>
  <si>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</si>
  <si>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</si>
  <si>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</si>
  <si>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</si>
  <si>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</si>
  <si>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</si>
  <si>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</si>
  <si>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</si>
  <si>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</si>
  <si>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</si>
  <si>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</si>
  <si>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</si>
  <si>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</si>
  <si>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</si>
  <si>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</si>
  <si>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</si>
  <si>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</si>
  <si>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</si>
  <si>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</si>
  <si>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</si>
  <si>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</si>
  <si>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</si>
  <si>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</si>
  <si>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</si>
  <si>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</si>
  <si>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</si>
  <si>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</si>
  <si>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</si>
  <si>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</si>
  <si>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</si>
  <si>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</si>
  <si>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</si>
  <si>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</si>
  <si>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</si>
  <si>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</si>
  <si>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</si>
  <si>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</si>
  <si>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</si>
  <si>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</si>
  <si>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</si>
  <si>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</si>
  <si>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</si>
  <si>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</si>
  <si>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</si>
  <si>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</si>
  <si>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</si>
  <si>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</si>
  <si>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</si>
  <si>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</si>
  <si>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</si>
  <si>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</si>
  <si>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</si>
  <si>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</si>
  <si>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</si>
  <si>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</si>
  <si>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</si>
  <si>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</si>
  <si>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</si>
  <si>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</si>
  <si>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</si>
  <si>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</si>
  <si>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</si>
  <si>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</si>
  <si>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</si>
  <si>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</si>
  <si>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</si>
  <si>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</si>
  <si>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</si>
  <si>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</si>
  <si>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</si>
  <si>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</si>
  <si>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</si>
  <si>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</si>
  <si>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</si>
  <si>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</si>
  <si>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</si>
  <si>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</si>
  <si>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</si>
  <si>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</si>
  <si>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</si>
  <si>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</si>
  <si>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</si>
  <si>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</si>
  <si>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</si>
  <si>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</si>
  <si>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</si>
  <si>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</si>
  <si>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</si>
  <si>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</si>
  <si>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</si>
  <si>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</si>
  <si>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</si>
  <si>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</si>
  <si>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</si>
  <si>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</si>
  <si>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</si>
  <si>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</si>
  <si>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</si>
  <si>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</si>
  <si>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</si>
  <si>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</si>
  <si>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</si>
  <si>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</si>
  <si>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</si>
  <si>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</si>
  <si>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</si>
  <si>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</si>
  <si>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</si>
  <si>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</si>
  <si>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</si>
  <si>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</si>
  <si>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</si>
  <si>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</si>
  <si>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</si>
  <si>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</si>
  <si>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</si>
  <si>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</si>
  <si>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</si>
  <si>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</si>
  <si>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</si>
  <si>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</si>
  <si>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</si>
  <si>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</si>
  <si>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</si>
  <si>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</si>
  <si>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</si>
  <si>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</si>
  <si>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</si>
  <si>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</si>
  <si>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</si>
  <si>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</si>
  <si>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</si>
  <si>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</si>
  <si>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</si>
  <si>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</si>
  <si>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</si>
  <si>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</si>
  <si>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</si>
  <si>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</si>
  <si>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</si>
  <si>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</si>
  <si>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</si>
  <si>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</si>
  <si>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</si>
  <si>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</si>
  <si>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</si>
  <si>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</si>
  <si>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</si>
  <si>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</si>
  <si>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</si>
  <si>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</si>
  <si>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</si>
  <si>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</si>
  <si>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</si>
  <si>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</si>
  <si>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</si>
  <si>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</si>
  <si>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</si>
  <si>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</si>
  <si>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</si>
  <si>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</si>
  <si>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</si>
  <si>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</si>
  <si>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</si>
  <si>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</si>
  <si>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</si>
  <si>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</si>
  <si>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</si>
  <si>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</si>
  <si>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</si>
  <si>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</si>
  <si>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</si>
  <si>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</si>
  <si>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</si>
  <si>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</si>
  <si>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</si>
  <si>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</si>
  <si>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</si>
  <si>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</si>
  <si>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</si>
  <si>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</si>
  <si>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</si>
  <si>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</si>
  <si>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</si>
  <si>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</si>
  <si>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</si>
  <si>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</si>
  <si>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</si>
  <si>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</si>
  <si>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</si>
  <si>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</si>
  <si>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</si>
  <si>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</si>
  <si>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</si>
  <si>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</si>
  <si>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</si>
  <si>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</si>
  <si>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</si>
  <si>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</si>
  <si>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</si>
  <si>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0603WAF150LT5E</t>
  </si>
  <si>
    <t xml:space="preserve"> Resistors 75V150mΩ 0603 Chip Resistor - Surface Mount ROHS
</t>
  </si>
  <si>
    <t>C45879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</si>
  <si>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</si>
  <si>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</si>
  <si>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</si>
  <si>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</si>
  <si>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</si>
  <si>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</si>
  <si>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</si>
  <si>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</si>
  <si>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CL10B474KA8NNNC</t>
  </si>
  <si>
    <t>470nF</t>
  </si>
  <si>
    <t>C#6,C#7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</si>
  <si>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</si>
  <si>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</si>
  <si>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</si>
  <si>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</si>
  <si>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</si>
  <si>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</si>
  <si>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</si>
  <si>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</si>
  <si>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</si>
  <si>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</si>
  <si>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</si>
  <si>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</si>
  <si>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</si>
  <si>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</si>
  <si>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</si>
  <si>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</si>
  <si>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</si>
  <si>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</si>
  <si>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</si>
  <si>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</si>
  <si>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</si>
  <si>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</si>
  <si>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</si>
  <si>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C44, C#9, C#10</t>
  </si>
  <si>
    <t>C56, C57, C#8</t>
  </si>
  <si>
    <r>
      <t>C#1,C#2,C#3,C#4,</t>
    </r>
    <r>
      <rPr>
        <sz val="11"/>
        <color rgb="FFFF0000"/>
        <rFont val="Calibri"/>
        <family val="2"/>
        <scheme val="minor"/>
      </rPr>
      <t>C#11,C#12</t>
    </r>
  </si>
  <si>
    <t>Remarks</t>
  </si>
  <si>
    <t>Increase Quantity +2</t>
  </si>
  <si>
    <r>
      <t>R1,R#,R#1,</t>
    </r>
    <r>
      <rPr>
        <sz val="11"/>
        <color rgb="FFFF0000"/>
        <rFont val="Calibri"/>
        <family val="2"/>
        <scheme val="minor"/>
      </rPr>
      <t>R#8,R#9</t>
    </r>
  </si>
  <si>
    <t xml:space="preserve">CAP CER 0.47UF 100V X7S 0805
</t>
  </si>
  <si>
    <t>C342818</t>
  </si>
  <si>
    <t>Voltage Rating and Package Change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</si>
</sst>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5" borderId="8" xfId="0" applyFon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8" fillId="5" borderId="11" xfId="0" applyFont="1" applyFill="1" applyBorder="1" applyAlignment="1">
      <alignment horizontal="center" vertical="center"/>
    </xf>
    <xf numFmtId="0" fontId="0" fillId="0" borderId="0" xfId="0" applyFont="1"/>
    <xf numFmtId="0" fontId="0" fillId="4" borderId="8" xfId="0" quotePrefix="1" applyFont="1" applyFill="1" applyBorder="1" applyAlignment="1">
      <alignment horizontal="center" vertical="center"/>
    </xf>
    <xf numFmtId="0" fontId="8" fillId="4" borderId="8" xfId="0" quotePrefix="1" applyFont="1" applyFill="1" applyBorder="1" applyAlignment="1">
      <alignment horizontal="center" vertical="center"/>
    </xf>
    <xf numFmtId="0" fontId="0" fillId="4" borderId="11" xfId="0" quotePrefix="1" applyFont="1" applyFill="1" applyBorder="1" applyAlignment="1">
      <alignment horizontal="center" vertical="center"/>
    </xf>
    <xf numFmtId="0" fontId="8" fillId="4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0" fillId="4" borderId="14" xfId="0" quotePrefix="1" applyFont="1" applyFill="1" applyBorder="1" applyAlignment="1">
      <alignment horizontal="center" vertical="center"/>
    </xf>
    <xf numFmtId="0" fontId="8" fillId="4" borderId="14" xfId="0" quotePrefix="1" applyFont="1" applyFill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8" fillId="4" borderId="15" xfId="0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5" borderId="7" xfId="0" quotePrefix="1" applyFont="1" applyFill="1" applyBorder="1" applyAlignment="1">
      <alignment horizontal="left" vertical="center"/>
    </xf>
    <xf numFmtId="0" fontId="0" fillId="5" borderId="8" xfId="0" quotePrefix="1" applyFont="1" applyFill="1" applyBorder="1" applyAlignment="1">
      <alignment horizontal="center" vertical="center"/>
    </xf>
    <xf numFmtId="0" fontId="0" fillId="5" borderId="10" xfId="0" quotePrefix="1" applyFont="1" applyFill="1" applyBorder="1" applyAlignment="1">
      <alignment horizontal="left" vertical="center"/>
    </xf>
    <xf numFmtId="0" fontId="0" fillId="5" borderId="11" xfId="0" quotePrefix="1" applyFont="1" applyFill="1" applyBorder="1" applyAlignment="1">
      <alignment horizontal="center" vertical="center"/>
    </xf>
    <xf numFmtId="0" fontId="8" fillId="5" borderId="11" xfId="0" quotePrefix="1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1" xfId="0" quotePrefix="1" applyFont="1" applyFill="1" applyBorder="1" applyAlignment="1">
      <alignment horizontal="center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6" borderId="14" xfId="0" quotePrefix="1" applyFont="1" applyFill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9" fillId="5" borderId="13" xfId="0" quotePrefix="1" applyFont="1" applyFill="1" applyBorder="1" applyAlignment="1">
      <alignment horizontal="left" vertical="center"/>
    </xf>
    <xf numFmtId="0" fontId="9" fillId="5" borderId="14" xfId="0" quotePrefix="1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/>
    </xf>
    <xf numFmtId="164" fontId="14" fillId="5" borderId="16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2" fillId="0" borderId="0" xfId="1"/>
    <xf numFmtId="0" fontId="2" fillId="4" borderId="11" xfId="0" quotePrefix="1" applyFont="1" applyFill="1" applyBorder="1" applyAlignment="1">
      <alignment horizontal="center" vertical="center"/>
    </xf>
    <xf numFmtId="0" fontId="19" fillId="4" borderId="11" xfId="0" quotePrefix="1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2" fillId="4" borderId="21" xfId="1" quotePrefix="1" applyFill="1" applyBorder="1" applyAlignment="1">
      <alignment horizontal="center" vertical="center"/>
    </xf>
    <xf numFmtId="0" fontId="13" fillId="4" borderId="21" xfId="1" quotePrefix="1" applyFont="1" applyFill="1" applyBorder="1" applyAlignment="1">
      <alignment horizontal="center" vertical="center"/>
    </xf>
    <xf numFmtId="0" fontId="12" fillId="5" borderId="21" xfId="1" applyFont="1" applyFill="1" applyBorder="1" applyAlignment="1">
      <alignment horizontal="center" vertical="center"/>
    </xf>
    <xf numFmtId="0" fontId="12" fillId="4" borderId="21" xfId="1" applyFill="1" applyBorder="1" applyAlignment="1">
      <alignment horizontal="center" vertical="center"/>
    </xf>
    <xf numFmtId="0" fontId="12" fillId="4" borderId="21" xfId="1" quotePrefix="1" applyFont="1" applyFill="1" applyBorder="1" applyAlignment="1">
      <alignment horizontal="center" vertical="center"/>
    </xf>
    <xf numFmtId="0" fontId="10" fillId="6" borderId="21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0" fontId="8" fillId="4" borderId="24" xfId="0" applyFont="1" applyFill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0" borderId="7" xfId="0" quotePrefix="1" applyBorder="1"/>
    <xf numFmtId="0" fontId="12" fillId="4" borderId="20" xfId="1" quotePrefix="1" applyFill="1" applyBorder="1" applyAlignment="1">
      <alignment horizontal="center" vertical="center"/>
    </xf>
    <xf numFmtId="0" fontId="0" fillId="4" borderId="24" xfId="0" quotePrefix="1" applyFont="1" applyFill="1" applyBorder="1" applyAlignment="1">
      <alignment horizontal="center" vertical="center"/>
    </xf>
    <xf numFmtId="0" fontId="8" fillId="4" borderId="24" xfId="0" quotePrefix="1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12" fillId="4" borderId="27" xfId="1" quotePrefix="1" applyFill="1" applyBorder="1" applyAlignment="1">
      <alignment horizontal="center" vertical="center"/>
    </xf>
    <xf numFmtId="0" fontId="0" fillId="4" borderId="26" xfId="0" quotePrefix="1" applyFont="1" applyFill="1" applyBorder="1" applyAlignment="1">
      <alignment horizontal="left" vertical="center"/>
    </xf>
    <xf numFmtId="0" fontId="0" fillId="4" borderId="17" xfId="0" quotePrefix="1" applyFont="1" applyFill="1" applyBorder="1" applyAlignment="1">
      <alignment horizontal="center" vertical="center"/>
    </xf>
    <xf numFmtId="0" fontId="8" fillId="4" borderId="17" xfId="0" quotePrefix="1" applyFont="1" applyFill="1" applyBorder="1" applyAlignment="1">
      <alignment horizontal="center" vertical="center"/>
    </xf>
    <xf numFmtId="164" fontId="13" fillId="4" borderId="16" xfId="1" applyNumberFormat="1" applyFont="1" applyFill="1" applyBorder="1" applyAlignment="1">
      <alignment horizontal="center" vertical="center"/>
    </xf>
    <xf numFmtId="0" fontId="0" fillId="0" borderId="19" xfId="0" quotePrefix="1" applyBorder="1" applyAlignment="1">
      <alignment horizontal="left" vertical="top"/>
    </xf>
    <xf numFmtId="0" fontId="0" fillId="0" borderId="24" xfId="0" quotePrefix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6" fillId="4" borderId="25" xfId="1" quotePrefix="1" applyFont="1" applyFill="1" applyBorder="1" applyAlignment="1">
      <alignment horizontal="center" vertical="center"/>
    </xf>
    <xf numFmtId="0" fontId="15" fillId="5" borderId="20" xfId="1" applyFont="1" applyFill="1" applyBorder="1" applyAlignment="1">
      <alignment horizontal="center" vertical="center"/>
    </xf>
    <xf numFmtId="0" fontId="0" fillId="6" borderId="11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8" fillId="6" borderId="8" xfId="0" quotePrefix="1" applyFont="1" applyFill="1" applyBorder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  <xf numFmtId="164" fontId="12" fillId="6" borderId="20" xfId="1" applyNumberFormat="1" applyFont="1" applyFill="1" applyBorder="1" applyAlignment="1">
      <alignment horizontal="center" vertical="center"/>
    </xf>
    <xf numFmtId="0" fontId="21" fillId="6" borderId="11" xfId="0" applyFont="1" applyFill="1" applyBorder="1" applyAlignment="1">
      <alignment horizontal="center" vertical="center"/>
    </xf>
    <xf numFmtId="0" fontId="8" fillId="6" borderId="11" xfId="0" quotePrefix="1" applyFont="1" applyFill="1" applyBorder="1" applyAlignment="1">
      <alignment horizontal="center" vertical="center"/>
    </xf>
    <xf numFmtId="164" fontId="12" fillId="6" borderId="21" xfId="1" applyNumberForma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13" fillId="6" borderId="20" xfId="1" quotePrefix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" fillId="4" borderId="10" xfId="0" quotePrefix="1" applyFont="1" applyFill="1" applyBorder="1" applyAlignment="1">
      <alignment horizontal="left" vertical="center"/>
    </xf>
    <xf numFmtId="0" fontId="21" fillId="4" borderId="11" xfId="0" applyFont="1" applyFill="1" applyBorder="1" applyAlignment="1">
      <alignment horizontal="center" vertical="center"/>
    </xf>
    <xf numFmtId="164" fontId="12" fillId="4" borderId="21" xfId="1" applyNumberForma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4" fontId="12" fillId="4" borderId="21" xfId="1" applyNumberFormat="1" applyFont="1" applyFill="1" applyBorder="1" applyAlignment="1">
      <alignment horizontal="center" vertical="center"/>
    </xf>
    <xf numFmtId="0" fontId="12" fillId="4" borderId="21" xfId="1" applyFont="1" applyFill="1" applyBorder="1" applyAlignment="1">
      <alignment horizontal="center" vertical="center"/>
    </xf>
    <xf numFmtId="0" fontId="0" fillId="4" borderId="10" xfId="0" quotePrefix="1" applyFill="1" applyBorder="1" applyAlignment="1">
      <alignment horizontal="left" vertical="center"/>
    </xf>
    <xf numFmtId="0" fontId="13" fillId="4" borderId="16" xfId="1" quotePrefix="1" applyFont="1" applyFill="1" applyBorder="1" applyAlignment="1">
      <alignment horizontal="center" vertical="center"/>
    </xf>
    <xf numFmtId="0" fontId="0" fillId="4" borderId="18" xfId="0" quotePrefix="1" applyFont="1" applyFill="1" applyBorder="1" applyAlignment="1">
      <alignment horizontal="left" vertical="center"/>
    </xf>
    <xf numFmtId="0" fontId="0" fillId="4" borderId="15" xfId="0" applyFont="1" applyFill="1" applyBorder="1" applyAlignment="1">
      <alignment horizontal="center" vertical="center"/>
    </xf>
    <xf numFmtId="0" fontId="13" fillId="4" borderId="23" xfId="1" quotePrefix="1" applyFont="1" applyFill="1" applyBorder="1" applyAlignment="1">
      <alignment horizontal="center" vertical="center"/>
    </xf>
    <xf numFmtId="0" fontId="19" fillId="4" borderId="11" xfId="0" applyFont="1" applyFill="1" applyBorder="1" applyAlignment="1">
      <alignment horizontal="center" vertical="center"/>
    </xf>
    <xf numFmtId="0" fontId="0" fillId="4" borderId="19" xfId="0" quotePrefix="1" applyFont="1" applyFill="1" applyBorder="1" applyAlignment="1">
      <alignment horizontal="left" vertical="center"/>
    </xf>
    <xf numFmtId="0" fontId="0" fillId="4" borderId="24" xfId="0" applyFont="1" applyFill="1" applyBorder="1" applyAlignment="1">
      <alignment horizontal="center" vertical="center"/>
    </xf>
    <xf numFmtId="0" fontId="13" fillId="4" borderId="25" xfId="1" quotePrefix="1" applyFont="1" applyFill="1" applyBorder="1" applyAlignment="1">
      <alignment horizontal="center" vertical="center"/>
    </xf>
    <xf numFmtId="0" fontId="0" fillId="4" borderId="17" xfId="0" applyFont="1" applyFill="1" applyBorder="1" applyAlignment="1">
      <alignment horizontal="center" vertical="center"/>
    </xf>
    <xf numFmtId="0" fontId="2" fillId="4" borderId="26" xfId="0" quotePrefix="1" applyFont="1" applyFill="1" applyBorder="1" applyAlignment="1">
      <alignment horizontal="left" vertical="center" wrapText="1"/>
    </xf>
    <xf numFmtId="0" fontId="2" fillId="4" borderId="17" xfId="0" quotePrefix="1" applyFont="1" applyFill="1" applyBorder="1" applyAlignment="1">
      <alignment horizontal="center" vertical="center"/>
    </xf>
    <xf numFmtId="0" fontId="19" fillId="4" borderId="17" xfId="0" quotePrefix="1" applyFont="1" applyFill="1" applyBorder="1" applyAlignment="1">
      <alignment horizontal="center" vertical="center"/>
    </xf>
    <xf numFmtId="0" fontId="24" fillId="4" borderId="11" xfId="0" quotePrefix="1" applyFont="1" applyFill="1" applyBorder="1" applyAlignment="1">
      <alignment horizontal="center" vertical="center"/>
    </xf>
    <xf numFmtId="0" fontId="24" fillId="4" borderId="24" xfId="0" quotePrefix="1" applyFont="1" applyFill="1" applyBorder="1" applyAlignment="1">
      <alignment horizontal="center" vertical="center"/>
    </xf>
    <xf numFmtId="0" fontId="24" fillId="4" borderId="17" xfId="0" quotePrefix="1" applyFont="1" applyFill="1" applyBorder="1" applyAlignment="1">
      <alignment horizontal="center" vertical="center"/>
    </xf>
    <xf numFmtId="0" fontId="24" fillId="4" borderId="11" xfId="0" applyFont="1" applyFill="1" applyBorder="1" applyAlignment="1">
      <alignment horizontal="center" vertical="center" wrapText="1"/>
    </xf>
    <xf numFmtId="0" fontId="0" fillId="4" borderId="10" xfId="0" quotePrefix="1" applyFill="1" applyBorder="1"/>
    <xf numFmtId="0" fontId="2" fillId="4" borderId="10" xfId="0" applyFont="1" applyFill="1" applyBorder="1" applyAlignment="1"/>
    <xf numFmtId="0" fontId="0" fillId="4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/>
    </xf>
    <xf numFmtId="0" fontId="1" fillId="4" borderId="11" xfId="0" quotePrefix="1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0" fillId="4" borderId="18" xfId="0" applyFill="1" applyBorder="1"/>
    <xf numFmtId="0" fontId="0" fillId="4" borderId="15" xfId="0" quotePrefix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/>
    </xf>
    <xf numFmtId="0" fontId="1" fillId="4" borderId="15" xfId="0" quotePrefix="1" applyFont="1" applyFill="1" applyBorder="1" applyAlignment="1">
      <alignment horizontal="center" vertical="center"/>
    </xf>
    <xf numFmtId="0" fontId="24" fillId="6" borderId="8" xfId="0" applyFont="1" applyFill="1" applyBorder="1" applyAlignment="1">
      <alignment horizontal="center" vertical="center" wrapText="1"/>
    </xf>
    <xf numFmtId="0" fontId="23" fillId="6" borderId="21" xfId="0" quotePrefix="1" applyFont="1" applyFill="1" applyBorder="1" applyAlignment="1">
      <alignment horizontal="center" vertical="center"/>
    </xf>
    <xf numFmtId="0" fontId="1" fillId="6" borderId="8" xfId="0" quotePrefix="1" applyFont="1" applyFill="1" applyBorder="1" applyAlignment="1">
      <alignment horizontal="center" vertical="center"/>
    </xf>
    <xf numFmtId="0" fontId="23" fillId="6" borderId="23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23" fillId="6" borderId="11" xfId="0" quotePrefix="1" applyFont="1" applyFill="1" applyBorder="1" applyAlignment="1">
      <alignment horizontal="center" vertical="center"/>
    </xf>
    <xf numFmtId="0" fontId="1" fillId="6" borderId="10" xfId="0" quotePrefix="1" applyFont="1" applyFill="1" applyBorder="1" applyAlignment="1">
      <alignment horizontal="left" vertical="center"/>
    </xf>
    <xf numFmtId="0" fontId="24" fillId="6" borderId="1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Bipolar-Transistors-BJT_Changjiang-Electronics-Tech-CJ-BCX56_C24212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https://lcsc.com/product-detail/Zener-Diodes_Yangzhou-Yangjie-Elec-Tech-MMSZ5V6CW_C700475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mailto:1&#956;A@2V%2040&#937;%20Single%205.2V~6V%20500mW%205.6V%20SOD123G%20Zener%20Diodes%20ROHS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Multilayer-Ceramic-Capacitors-MLCC-SMD-SMT_TDK-C2012X7S2A474KT000N_C342818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https://lcsc.com/product-detail/Multilayer-Ceramic-Capacitors-MLCC-SMD-SMT_Samsung-Electro-Mechanics-CL10A475KA8NQNC_C69335.html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Chip-span-style-background-color-ff0-Resistor-span-Surface-Mount_UNI-ROYAL-Uniroyal-Elec-0603WAF150LT5E_C45879.html" TargetMode="External"/><Relationship Id="rId35" Type="http://schemas.openxmlformats.org/officeDocument/2006/relationships/hyperlink" Target="https://lcsc.com/product-detail/TVS_RUILON-Shenzhen-Ruilongyuan-Elec-SMBJ43A_C10222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9"/>
  <sheetViews>
    <sheetView tabSelected="1" topLeftCell="D16" zoomScale="85" zoomScaleNormal="85" workbookViewId="0">
      <selection activeCell="Q17" sqref="Q17"/>
    </sheetView>
  </sheetViews>
  <sheetFormatPr defaultColWidth="9" defaultRowHeight="15"/>
  <cols>
    <col min="1" max="1" width="6.140625" style="2" customWidth="1"/>
    <col min="2" max="2" width="14.42578125" customWidth="1"/>
    <col min="3" max="3" width="77.85546875" bestFit="1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customWidth="1"/>
    <col min="15" max="15" width="37.42578125" bestFit="1" customWidth="1"/>
  </cols>
  <sheetData>
    <row r="1" spans="1:30" ht="16.5" thickBot="1">
      <c r="A1" s="96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8"/>
    </row>
    <row r="2" spans="1:30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51" t="s">
        <v>181</v>
      </c>
      <c r="N2" s="56" t="s">
        <v>180</v>
      </c>
      <c r="O2" s="142" t="s">
        <v>243</v>
      </c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</row>
    <row r="3" spans="1:30" ht="15.75" thickBot="1">
      <c r="A3" s="6">
        <v>1</v>
      </c>
      <c r="B3" s="99" t="s">
        <v>13</v>
      </c>
      <c r="C3" s="84" t="s">
        <v>14</v>
      </c>
      <c r="D3" s="138" t="s">
        <v>242</v>
      </c>
      <c r="E3" s="85" t="s">
        <v>15</v>
      </c>
      <c r="F3" s="85" t="s">
        <v>16</v>
      </c>
      <c r="G3" s="85" t="s">
        <v>17</v>
      </c>
      <c r="H3" s="86" t="s">
        <v>18</v>
      </c>
      <c r="I3" s="87" t="s">
        <v>19</v>
      </c>
      <c r="J3" s="85" t="s">
        <v>20</v>
      </c>
      <c r="K3" s="88">
        <v>50</v>
      </c>
      <c r="L3" s="88">
        <v>6</v>
      </c>
      <c r="M3" s="88">
        <f>L3*6</f>
        <v>36</v>
      </c>
      <c r="N3" s="89" t="s">
        <v>21</v>
      </c>
      <c r="O3" s="141" t="s">
        <v>244</v>
      </c>
    </row>
    <row r="4" spans="1:30" ht="15.75" thickBot="1">
      <c r="A4" s="6">
        <v>2</v>
      </c>
      <c r="B4" s="100"/>
      <c r="C4" s="102" t="s">
        <v>209</v>
      </c>
      <c r="D4" s="124" t="s">
        <v>210</v>
      </c>
      <c r="E4" s="28" t="s">
        <v>15</v>
      </c>
      <c r="F4" s="54" t="s">
        <v>208</v>
      </c>
      <c r="G4" s="54" t="s">
        <v>211</v>
      </c>
      <c r="H4" s="103" t="s">
        <v>212</v>
      </c>
      <c r="I4" s="29" t="s">
        <v>19</v>
      </c>
      <c r="J4" s="54" t="s">
        <v>213</v>
      </c>
      <c r="K4" s="7">
        <v>20</v>
      </c>
      <c r="L4" s="7">
        <v>1</v>
      </c>
      <c r="M4" s="7">
        <f t="shared" ref="M4:M5" si="0">L4*6</f>
        <v>6</v>
      </c>
      <c r="N4" s="104" t="s">
        <v>21</v>
      </c>
      <c r="O4" s="104"/>
    </row>
    <row r="5" spans="1:30" ht="15.75" thickBot="1">
      <c r="A5" s="6">
        <v>3</v>
      </c>
      <c r="B5" s="100"/>
      <c r="C5" s="144" t="s">
        <v>246</v>
      </c>
      <c r="D5" s="145" t="s">
        <v>216</v>
      </c>
      <c r="E5" s="81" t="s">
        <v>24</v>
      </c>
      <c r="F5" s="82" t="s">
        <v>214</v>
      </c>
      <c r="G5" s="91" t="s">
        <v>38</v>
      </c>
      <c r="H5" s="90" t="s">
        <v>247</v>
      </c>
      <c r="I5" s="91" t="s">
        <v>19</v>
      </c>
      <c r="J5" s="82" t="s">
        <v>215</v>
      </c>
      <c r="K5" s="83">
        <v>15</v>
      </c>
      <c r="L5" s="83">
        <v>2</v>
      </c>
      <c r="M5" s="83">
        <f t="shared" si="0"/>
        <v>12</v>
      </c>
      <c r="N5" s="92" t="s">
        <v>21</v>
      </c>
      <c r="O5" s="143" t="s">
        <v>248</v>
      </c>
    </row>
    <row r="6" spans="1:30" ht="15.75" thickBot="1">
      <c r="A6" s="6">
        <v>4</v>
      </c>
      <c r="B6" s="100"/>
      <c r="C6" s="35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105" t="s">
        <v>27</v>
      </c>
      <c r="I6" s="29" t="s">
        <v>19</v>
      </c>
      <c r="J6" s="28" t="s">
        <v>28</v>
      </c>
      <c r="K6" s="7">
        <v>10</v>
      </c>
      <c r="L6" s="7">
        <v>1</v>
      </c>
      <c r="M6" s="7">
        <f t="shared" ref="M6:M42" si="1">L6*6</f>
        <v>6</v>
      </c>
      <c r="N6" s="106" t="s">
        <v>21</v>
      </c>
      <c r="O6" s="106"/>
    </row>
    <row r="7" spans="1:30" ht="15.75" thickBot="1">
      <c r="A7" s="6">
        <v>5</v>
      </c>
      <c r="B7" s="100"/>
      <c r="C7" s="35" t="s">
        <v>29</v>
      </c>
      <c r="D7" s="28" t="s">
        <v>30</v>
      </c>
      <c r="E7" s="28" t="s">
        <v>15</v>
      </c>
      <c r="F7" s="30" t="s">
        <v>31</v>
      </c>
      <c r="G7" s="28" t="s">
        <v>32</v>
      </c>
      <c r="H7" s="105" t="s">
        <v>33</v>
      </c>
      <c r="I7" s="105" t="s">
        <v>34</v>
      </c>
      <c r="J7" s="28" t="s">
        <v>35</v>
      </c>
      <c r="K7" s="7">
        <v>100</v>
      </c>
      <c r="L7" s="7">
        <v>8</v>
      </c>
      <c r="M7" s="7">
        <f t="shared" si="1"/>
        <v>48</v>
      </c>
      <c r="N7" s="107" t="s">
        <v>21</v>
      </c>
      <c r="O7" s="107"/>
    </row>
    <row r="8" spans="1:30" ht="15.75" thickBot="1">
      <c r="A8" s="6">
        <v>6</v>
      </c>
      <c r="B8" s="100"/>
      <c r="C8" s="35" t="s">
        <v>36</v>
      </c>
      <c r="D8" s="121" t="s">
        <v>241</v>
      </c>
      <c r="E8" s="28" t="s">
        <v>15</v>
      </c>
      <c r="F8" s="30" t="s">
        <v>37</v>
      </c>
      <c r="G8" s="29" t="s">
        <v>38</v>
      </c>
      <c r="H8" s="9" t="s">
        <v>39</v>
      </c>
      <c r="I8" s="28" t="s">
        <v>40</v>
      </c>
      <c r="J8" s="28" t="s">
        <v>41</v>
      </c>
      <c r="K8" s="7">
        <v>50</v>
      </c>
      <c r="L8" s="9">
        <v>3</v>
      </c>
      <c r="M8" s="7">
        <f t="shared" si="1"/>
        <v>18</v>
      </c>
      <c r="N8" s="58" t="s">
        <v>21</v>
      </c>
      <c r="O8" s="58"/>
    </row>
    <row r="9" spans="1:30" ht="15.75" thickBot="1">
      <c r="A9" s="6">
        <v>7</v>
      </c>
      <c r="B9" s="100"/>
      <c r="C9" s="35" t="s">
        <v>42</v>
      </c>
      <c r="D9" s="28" t="s">
        <v>43</v>
      </c>
      <c r="E9" s="28" t="s">
        <v>44</v>
      </c>
      <c r="F9" s="28" t="s">
        <v>45</v>
      </c>
      <c r="G9" s="29" t="s">
        <v>46</v>
      </c>
      <c r="H9" s="9" t="s">
        <v>47</v>
      </c>
      <c r="I9" s="29" t="s">
        <v>19</v>
      </c>
      <c r="J9" s="28" t="s">
        <v>48</v>
      </c>
      <c r="K9" s="7">
        <v>10</v>
      </c>
      <c r="L9" s="9">
        <v>1</v>
      </c>
      <c r="M9" s="7">
        <f t="shared" si="1"/>
        <v>6</v>
      </c>
      <c r="N9" s="58" t="s">
        <v>21</v>
      </c>
      <c r="O9" s="58"/>
    </row>
    <row r="10" spans="1:30" ht="15.75" thickBot="1">
      <c r="A10" s="6">
        <v>8</v>
      </c>
      <c r="B10" s="100"/>
      <c r="C10" s="35" t="s">
        <v>49</v>
      </c>
      <c r="D10" s="121" t="s">
        <v>240</v>
      </c>
      <c r="E10" s="28" t="s">
        <v>44</v>
      </c>
      <c r="F10" s="28" t="s">
        <v>50</v>
      </c>
      <c r="G10" s="29" t="s">
        <v>46</v>
      </c>
      <c r="H10" s="9" t="s">
        <v>51</v>
      </c>
      <c r="I10" s="29" t="s">
        <v>19</v>
      </c>
      <c r="J10" s="28" t="s">
        <v>48</v>
      </c>
      <c r="K10" s="7">
        <v>12</v>
      </c>
      <c r="L10" s="9">
        <v>3</v>
      </c>
      <c r="M10" s="7">
        <f t="shared" si="1"/>
        <v>18</v>
      </c>
      <c r="N10" s="58" t="s">
        <v>21</v>
      </c>
      <c r="O10" s="58"/>
    </row>
    <row r="11" spans="1:30" ht="15.75" thickBot="1">
      <c r="A11" s="6">
        <v>9</v>
      </c>
      <c r="B11" s="100"/>
      <c r="C11" s="108" t="s">
        <v>162</v>
      </c>
      <c r="D11" s="52" t="s">
        <v>52</v>
      </c>
      <c r="E11" s="52" t="s">
        <v>15</v>
      </c>
      <c r="F11" s="52" t="s">
        <v>163</v>
      </c>
      <c r="G11" s="29" t="s">
        <v>26</v>
      </c>
      <c r="H11" s="55" t="s">
        <v>237</v>
      </c>
      <c r="I11" s="29" t="s">
        <v>19</v>
      </c>
      <c r="J11" s="28" t="s">
        <v>53</v>
      </c>
      <c r="K11" s="7">
        <v>20</v>
      </c>
      <c r="L11" s="9">
        <v>1</v>
      </c>
      <c r="M11" s="7">
        <f t="shared" si="1"/>
        <v>6</v>
      </c>
      <c r="N11" s="57" t="s">
        <v>21</v>
      </c>
      <c r="O11" s="57"/>
    </row>
    <row r="12" spans="1:30" ht="15.75" thickBot="1">
      <c r="A12" s="6">
        <v>10</v>
      </c>
      <c r="B12" s="100"/>
      <c r="C12" s="35" t="s">
        <v>164</v>
      </c>
      <c r="D12" s="28" t="s">
        <v>54</v>
      </c>
      <c r="E12" s="28" t="s">
        <v>24</v>
      </c>
      <c r="F12" s="28" t="s">
        <v>165</v>
      </c>
      <c r="G12" s="29" t="s">
        <v>17</v>
      </c>
      <c r="H12" s="55" t="s">
        <v>238</v>
      </c>
      <c r="I12" s="29" t="s">
        <v>19</v>
      </c>
      <c r="J12" s="28" t="s">
        <v>55</v>
      </c>
      <c r="K12" s="7">
        <v>10</v>
      </c>
      <c r="L12" s="9">
        <v>1</v>
      </c>
      <c r="M12" s="7">
        <f t="shared" si="1"/>
        <v>6</v>
      </c>
      <c r="N12" s="57" t="s">
        <v>21</v>
      </c>
      <c r="O12" s="57"/>
    </row>
    <row r="13" spans="1:30" ht="15.75" thickBot="1">
      <c r="A13" s="6">
        <v>11</v>
      </c>
      <c r="B13" s="101"/>
      <c r="C13" s="36" t="s">
        <v>56</v>
      </c>
      <c r="D13" s="31" t="s">
        <v>57</v>
      </c>
      <c r="E13" s="31" t="s">
        <v>58</v>
      </c>
      <c r="F13" s="31" t="s">
        <v>59</v>
      </c>
      <c r="G13" s="32" t="s">
        <v>60</v>
      </c>
      <c r="H13" s="12" t="s">
        <v>61</v>
      </c>
      <c r="I13" s="32" t="s">
        <v>19</v>
      </c>
      <c r="J13" s="31" t="s">
        <v>62</v>
      </c>
      <c r="K13" s="10">
        <v>50</v>
      </c>
      <c r="L13" s="12">
        <v>1</v>
      </c>
      <c r="M13" s="10">
        <f t="shared" si="1"/>
        <v>6</v>
      </c>
      <c r="N13" s="109" t="s">
        <v>21</v>
      </c>
      <c r="O13" s="109"/>
    </row>
    <row r="14" spans="1:30" ht="15.75" thickBot="1">
      <c r="A14" s="6">
        <v>12</v>
      </c>
      <c r="B14" s="100" t="s">
        <v>63</v>
      </c>
      <c r="C14" s="110" t="s">
        <v>64</v>
      </c>
      <c r="D14" s="33" t="s">
        <v>65</v>
      </c>
      <c r="E14" s="33" t="s">
        <v>66</v>
      </c>
      <c r="F14" s="33" t="s">
        <v>67</v>
      </c>
      <c r="G14" s="33" t="s">
        <v>68</v>
      </c>
      <c r="H14" s="15" t="s">
        <v>69</v>
      </c>
      <c r="I14" s="34" t="s">
        <v>19</v>
      </c>
      <c r="J14" s="34" t="s">
        <v>70</v>
      </c>
      <c r="K14" s="111">
        <v>7</v>
      </c>
      <c r="L14" s="15">
        <v>1</v>
      </c>
      <c r="M14" s="111">
        <f t="shared" si="1"/>
        <v>6</v>
      </c>
      <c r="N14" s="112" t="s">
        <v>21</v>
      </c>
      <c r="O14" s="112"/>
    </row>
    <row r="15" spans="1:30" ht="15.75" thickBot="1">
      <c r="A15" s="6">
        <v>13</v>
      </c>
      <c r="B15" s="100"/>
      <c r="C15" s="35" t="s">
        <v>220</v>
      </c>
      <c r="D15" s="121" t="s">
        <v>219</v>
      </c>
      <c r="E15" s="54" t="s">
        <v>218</v>
      </c>
      <c r="F15" s="54" t="s">
        <v>217</v>
      </c>
      <c r="G15" s="54" t="s">
        <v>221</v>
      </c>
      <c r="H15" s="113" t="s">
        <v>222</v>
      </c>
      <c r="I15" s="55" t="s">
        <v>19</v>
      </c>
      <c r="J15" s="55" t="s">
        <v>70</v>
      </c>
      <c r="K15" s="7">
        <v>50</v>
      </c>
      <c r="L15" s="9">
        <v>1</v>
      </c>
      <c r="M15" s="7">
        <f t="shared" si="1"/>
        <v>6</v>
      </c>
      <c r="N15" s="57" t="s">
        <v>21</v>
      </c>
      <c r="O15" s="57"/>
    </row>
    <row r="16" spans="1:30" ht="15.75" thickBot="1">
      <c r="A16" s="6">
        <v>14</v>
      </c>
      <c r="B16" s="100"/>
      <c r="C16" s="102" t="s">
        <v>234</v>
      </c>
      <c r="D16" s="121" t="s">
        <v>233</v>
      </c>
      <c r="E16" s="54" t="s">
        <v>232</v>
      </c>
      <c r="F16" s="54" t="s">
        <v>231</v>
      </c>
      <c r="G16" s="54" t="s">
        <v>235</v>
      </c>
      <c r="H16" s="113" t="s">
        <v>236</v>
      </c>
      <c r="I16" s="55" t="s">
        <v>19</v>
      </c>
      <c r="J16" s="55" t="s">
        <v>70</v>
      </c>
      <c r="K16" s="7">
        <v>5</v>
      </c>
      <c r="L16" s="9">
        <v>1</v>
      </c>
      <c r="M16" s="7">
        <f t="shared" si="1"/>
        <v>6</v>
      </c>
      <c r="N16" s="57" t="s">
        <v>21</v>
      </c>
      <c r="O16" s="57"/>
    </row>
    <row r="17" spans="1:15" ht="15.75" thickBot="1">
      <c r="A17" s="6">
        <v>15</v>
      </c>
      <c r="B17" s="100"/>
      <c r="C17" s="114" t="s">
        <v>71</v>
      </c>
      <c r="D17" s="122" t="s">
        <v>72</v>
      </c>
      <c r="E17" s="68" t="s">
        <v>73</v>
      </c>
      <c r="F17" s="68" t="s">
        <v>74</v>
      </c>
      <c r="G17" s="68" t="s">
        <v>75</v>
      </c>
      <c r="H17" s="69" t="s">
        <v>76</v>
      </c>
      <c r="I17" s="69" t="s">
        <v>19</v>
      </c>
      <c r="J17" s="69" t="s">
        <v>70</v>
      </c>
      <c r="K17" s="115">
        <v>20</v>
      </c>
      <c r="L17" s="64">
        <v>1</v>
      </c>
      <c r="M17" s="115">
        <f t="shared" si="1"/>
        <v>6</v>
      </c>
      <c r="N17" s="116" t="s">
        <v>21</v>
      </c>
      <c r="O17" s="116"/>
    </row>
    <row r="18" spans="1:15" ht="16.5" thickBot="1">
      <c r="A18" s="6">
        <v>16</v>
      </c>
      <c r="B18" s="95" t="s">
        <v>77</v>
      </c>
      <c r="C18" s="72" t="s">
        <v>78</v>
      </c>
      <c r="D18" s="123" t="s">
        <v>79</v>
      </c>
      <c r="E18" s="73" t="s">
        <v>80</v>
      </c>
      <c r="F18" s="73" t="s">
        <v>81</v>
      </c>
      <c r="G18" s="74" t="s">
        <v>82</v>
      </c>
      <c r="H18" s="74" t="s">
        <v>19</v>
      </c>
      <c r="I18" s="73" t="s">
        <v>19</v>
      </c>
      <c r="J18" s="74" t="s">
        <v>70</v>
      </c>
      <c r="K18" s="70">
        <v>7</v>
      </c>
      <c r="L18" s="70">
        <v>1</v>
      </c>
      <c r="M18" s="117">
        <f t="shared" si="1"/>
        <v>6</v>
      </c>
      <c r="N18" s="71" t="s">
        <v>21</v>
      </c>
      <c r="O18" s="71"/>
    </row>
    <row r="19" spans="1:15" ht="30.75" thickBot="1">
      <c r="A19" s="6">
        <v>17</v>
      </c>
      <c r="B19" s="95" t="s">
        <v>223</v>
      </c>
      <c r="C19" s="118" t="s">
        <v>225</v>
      </c>
      <c r="D19" s="123" t="s">
        <v>224</v>
      </c>
      <c r="E19" s="119" t="s">
        <v>226</v>
      </c>
      <c r="F19" s="119" t="s">
        <v>227</v>
      </c>
      <c r="G19" s="120" t="s">
        <v>228</v>
      </c>
      <c r="H19" s="120" t="s">
        <v>229</v>
      </c>
      <c r="I19" s="119" t="s">
        <v>230</v>
      </c>
      <c r="J19" s="120" t="s">
        <v>70</v>
      </c>
      <c r="K19" s="70">
        <v>10</v>
      </c>
      <c r="L19" s="70">
        <v>1</v>
      </c>
      <c r="M19" s="117">
        <f t="shared" si="1"/>
        <v>6</v>
      </c>
      <c r="N19" s="71" t="s">
        <v>21</v>
      </c>
      <c r="O19" s="71"/>
    </row>
    <row r="20" spans="1:15" ht="15.75" thickBot="1">
      <c r="A20" s="6">
        <v>18</v>
      </c>
      <c r="B20" s="99" t="s">
        <v>83</v>
      </c>
      <c r="C20" s="66" t="s">
        <v>174</v>
      </c>
      <c r="D20" s="46" t="s">
        <v>175</v>
      </c>
      <c r="E20" s="46" t="s">
        <v>176</v>
      </c>
      <c r="F20" s="46" t="s">
        <v>176</v>
      </c>
      <c r="G20" s="27" t="s">
        <v>177</v>
      </c>
      <c r="H20" s="27" t="s">
        <v>178</v>
      </c>
      <c r="I20" s="26" t="s">
        <v>19</v>
      </c>
      <c r="J20" s="27" t="s">
        <v>70</v>
      </c>
      <c r="K20" s="14">
        <v>10</v>
      </c>
      <c r="L20" s="14">
        <v>1</v>
      </c>
      <c r="M20" s="13">
        <f t="shared" si="1"/>
        <v>6</v>
      </c>
      <c r="N20" s="67" t="s">
        <v>21</v>
      </c>
      <c r="O20" s="67"/>
    </row>
    <row r="21" spans="1:15" ht="15.75" thickBot="1">
      <c r="A21" s="6">
        <v>19</v>
      </c>
      <c r="B21" s="101"/>
      <c r="C21" s="47" t="s">
        <v>84</v>
      </c>
      <c r="D21" s="48" t="s">
        <v>85</v>
      </c>
      <c r="E21" s="48" t="s">
        <v>44</v>
      </c>
      <c r="F21" s="48" t="s">
        <v>86</v>
      </c>
      <c r="G21" s="48" t="s">
        <v>87</v>
      </c>
      <c r="H21" s="49"/>
      <c r="I21" s="49"/>
      <c r="J21" s="48" t="s">
        <v>70</v>
      </c>
      <c r="K21" s="49">
        <v>7</v>
      </c>
      <c r="L21" s="49">
        <v>1</v>
      </c>
      <c r="M21" s="11">
        <f t="shared" si="1"/>
        <v>6</v>
      </c>
      <c r="N21" s="50" t="s">
        <v>88</v>
      </c>
      <c r="O21" s="50"/>
    </row>
    <row r="22" spans="1:15" ht="15.75" thickBot="1">
      <c r="A22" s="6">
        <v>20</v>
      </c>
      <c r="B22" s="99" t="s">
        <v>89</v>
      </c>
      <c r="C22" s="84" t="s">
        <v>90</v>
      </c>
      <c r="D22" s="140" t="s">
        <v>245</v>
      </c>
      <c r="E22" s="85" t="s">
        <v>91</v>
      </c>
      <c r="F22" s="85" t="s">
        <v>92</v>
      </c>
      <c r="G22" s="87" t="s">
        <v>60</v>
      </c>
      <c r="H22" s="93" t="s">
        <v>93</v>
      </c>
      <c r="I22" s="85" t="s">
        <v>19</v>
      </c>
      <c r="J22" s="85" t="s">
        <v>94</v>
      </c>
      <c r="K22" s="88">
        <v>100</v>
      </c>
      <c r="L22" s="88">
        <v>5</v>
      </c>
      <c r="M22" s="88">
        <f t="shared" si="1"/>
        <v>30</v>
      </c>
      <c r="N22" s="94" t="s">
        <v>21</v>
      </c>
      <c r="O22" s="139" t="s">
        <v>244</v>
      </c>
    </row>
    <row r="23" spans="1:15" ht="15.75" thickBot="1">
      <c r="A23" s="6">
        <v>21</v>
      </c>
      <c r="B23" s="100"/>
      <c r="C23" s="125" t="s">
        <v>166</v>
      </c>
      <c r="D23" s="131" t="s">
        <v>167</v>
      </c>
      <c r="E23" s="52" t="s">
        <v>91</v>
      </c>
      <c r="F23" s="52" t="s">
        <v>168</v>
      </c>
      <c r="G23" s="29" t="s">
        <v>156</v>
      </c>
      <c r="H23" s="55" t="s">
        <v>239</v>
      </c>
      <c r="I23" s="28" t="s">
        <v>19</v>
      </c>
      <c r="J23" s="54" t="s">
        <v>169</v>
      </c>
      <c r="K23" s="7">
        <v>100</v>
      </c>
      <c r="L23" s="7">
        <v>1</v>
      </c>
      <c r="M23" s="7">
        <f t="shared" si="1"/>
        <v>6</v>
      </c>
      <c r="N23" s="57" t="s">
        <v>179</v>
      </c>
      <c r="O23" s="57"/>
    </row>
    <row r="24" spans="1:15" ht="15.75" thickBot="1">
      <c r="A24" s="6">
        <v>22</v>
      </c>
      <c r="B24" s="100"/>
      <c r="C24" s="126" t="s">
        <v>194</v>
      </c>
      <c r="D24" s="132" t="s">
        <v>187</v>
      </c>
      <c r="E24" s="52" t="s">
        <v>91</v>
      </c>
      <c r="F24" s="127" t="s">
        <v>188</v>
      </c>
      <c r="G24" s="127" t="s">
        <v>189</v>
      </c>
      <c r="H24" s="128" t="s">
        <v>190</v>
      </c>
      <c r="I24" s="28" t="s">
        <v>19</v>
      </c>
      <c r="J24" s="54" t="s">
        <v>200</v>
      </c>
      <c r="K24" s="7">
        <v>20</v>
      </c>
      <c r="L24" s="7">
        <v>1</v>
      </c>
      <c r="M24" s="7">
        <f t="shared" si="1"/>
        <v>6</v>
      </c>
      <c r="N24" s="60" t="s">
        <v>21</v>
      </c>
      <c r="O24" s="60"/>
    </row>
    <row r="25" spans="1:15" ht="15.75" thickBot="1">
      <c r="A25" s="6">
        <v>23</v>
      </c>
      <c r="B25" s="100"/>
      <c r="C25" s="126" t="s">
        <v>195</v>
      </c>
      <c r="D25" s="132" t="s">
        <v>191</v>
      </c>
      <c r="E25" s="52" t="s">
        <v>91</v>
      </c>
      <c r="F25" s="127" t="s">
        <v>192</v>
      </c>
      <c r="G25" s="127" t="s">
        <v>189</v>
      </c>
      <c r="H25" s="128" t="s">
        <v>193</v>
      </c>
      <c r="I25" s="28" t="s">
        <v>19</v>
      </c>
      <c r="J25" s="54" t="s">
        <v>201</v>
      </c>
      <c r="K25" s="7">
        <v>100</v>
      </c>
      <c r="L25" s="7">
        <v>1</v>
      </c>
      <c r="M25" s="7">
        <f t="shared" si="1"/>
        <v>6</v>
      </c>
      <c r="N25" s="57" t="s">
        <v>21</v>
      </c>
      <c r="O25" s="57"/>
    </row>
    <row r="26" spans="1:15" ht="15.75" thickBot="1">
      <c r="A26" s="6">
        <v>24</v>
      </c>
      <c r="B26" s="100"/>
      <c r="C26" s="126" t="s">
        <v>197</v>
      </c>
      <c r="D26" s="132" t="s">
        <v>198</v>
      </c>
      <c r="E26" s="54" t="s">
        <v>91</v>
      </c>
      <c r="F26" s="129" t="s">
        <v>196</v>
      </c>
      <c r="G26" s="127" t="s">
        <v>189</v>
      </c>
      <c r="H26" s="130" t="s">
        <v>199</v>
      </c>
      <c r="I26" s="28" t="s">
        <v>19</v>
      </c>
      <c r="J26" s="54" t="s">
        <v>202</v>
      </c>
      <c r="K26" s="7">
        <v>100</v>
      </c>
      <c r="L26" s="7">
        <v>1</v>
      </c>
      <c r="M26" s="7">
        <f t="shared" si="1"/>
        <v>6</v>
      </c>
      <c r="N26" s="57" t="s">
        <v>21</v>
      </c>
      <c r="O26" s="57"/>
    </row>
    <row r="27" spans="1:15" ht="15.75" thickBot="1">
      <c r="A27" s="6">
        <v>25</v>
      </c>
      <c r="B27" s="100"/>
      <c r="C27" s="126" t="s">
        <v>204</v>
      </c>
      <c r="D27" s="132" t="s">
        <v>207</v>
      </c>
      <c r="E27" s="54" t="s">
        <v>91</v>
      </c>
      <c r="F27" s="129" t="s">
        <v>203</v>
      </c>
      <c r="G27" s="129" t="s">
        <v>115</v>
      </c>
      <c r="H27" s="130" t="s">
        <v>205</v>
      </c>
      <c r="I27" s="28" t="s">
        <v>19</v>
      </c>
      <c r="J27" s="54" t="s">
        <v>206</v>
      </c>
      <c r="K27" s="7">
        <v>50</v>
      </c>
      <c r="L27" s="7">
        <v>2</v>
      </c>
      <c r="M27" s="7">
        <f t="shared" si="1"/>
        <v>12</v>
      </c>
      <c r="N27" s="57" t="s">
        <v>21</v>
      </c>
      <c r="O27" s="57"/>
    </row>
    <row r="28" spans="1:15" ht="15.75" thickBot="1">
      <c r="A28" s="6">
        <v>26</v>
      </c>
      <c r="B28" s="100"/>
      <c r="C28" s="35" t="s">
        <v>95</v>
      </c>
      <c r="D28" s="7" t="s">
        <v>96</v>
      </c>
      <c r="E28" s="28" t="s">
        <v>91</v>
      </c>
      <c r="F28" s="28" t="s">
        <v>97</v>
      </c>
      <c r="G28" s="29" t="s">
        <v>60</v>
      </c>
      <c r="H28" s="9" t="s">
        <v>98</v>
      </c>
      <c r="I28" s="28" t="s">
        <v>19</v>
      </c>
      <c r="J28" s="28" t="s">
        <v>99</v>
      </c>
      <c r="K28" s="7">
        <v>100</v>
      </c>
      <c r="L28" s="7">
        <v>2</v>
      </c>
      <c r="M28" s="8">
        <f t="shared" si="1"/>
        <v>12</v>
      </c>
      <c r="N28" s="58" t="s">
        <v>21</v>
      </c>
      <c r="O28" s="58"/>
    </row>
    <row r="29" spans="1:15" ht="15.75" thickBot="1">
      <c r="A29" s="6">
        <v>27</v>
      </c>
      <c r="B29" s="100"/>
      <c r="C29" s="35" t="s">
        <v>100</v>
      </c>
      <c r="D29" s="7" t="s">
        <v>186</v>
      </c>
      <c r="E29" s="28" t="s">
        <v>91</v>
      </c>
      <c r="F29" s="28" t="s">
        <v>101</v>
      </c>
      <c r="G29" s="29" t="s">
        <v>60</v>
      </c>
      <c r="H29" s="9" t="s">
        <v>102</v>
      </c>
      <c r="I29" s="28" t="s">
        <v>19</v>
      </c>
      <c r="J29" s="28" t="s">
        <v>103</v>
      </c>
      <c r="K29" s="7">
        <v>100</v>
      </c>
      <c r="L29" s="7">
        <v>1</v>
      </c>
      <c r="M29" s="8">
        <f t="shared" si="1"/>
        <v>6</v>
      </c>
      <c r="N29" s="58" t="s">
        <v>21</v>
      </c>
      <c r="O29" s="58"/>
    </row>
    <row r="30" spans="1:15" ht="15.75" thickBot="1">
      <c r="A30" s="6">
        <v>28</v>
      </c>
      <c r="B30" s="100"/>
      <c r="C30" s="35" t="s">
        <v>105</v>
      </c>
      <c r="D30" s="28" t="s">
        <v>106</v>
      </c>
      <c r="E30" s="28" t="s">
        <v>104</v>
      </c>
      <c r="F30" s="30" t="s">
        <v>107</v>
      </c>
      <c r="G30" s="29" t="s">
        <v>108</v>
      </c>
      <c r="H30" s="9" t="s">
        <v>109</v>
      </c>
      <c r="I30" s="29" t="s">
        <v>110</v>
      </c>
      <c r="J30" s="28" t="s">
        <v>111</v>
      </c>
      <c r="K30" s="7">
        <v>10</v>
      </c>
      <c r="L30" s="7">
        <v>1</v>
      </c>
      <c r="M30" s="8">
        <f t="shared" si="1"/>
        <v>6</v>
      </c>
      <c r="N30" s="58" t="s">
        <v>21</v>
      </c>
      <c r="O30" s="58"/>
    </row>
    <row r="31" spans="1:15" ht="15.75" thickBot="1">
      <c r="A31" s="6">
        <v>29</v>
      </c>
      <c r="B31" s="100"/>
      <c r="C31" s="35" t="s">
        <v>112</v>
      </c>
      <c r="D31" s="28" t="s">
        <v>113</v>
      </c>
      <c r="E31" s="28" t="s">
        <v>24</v>
      </c>
      <c r="F31" s="28" t="s">
        <v>114</v>
      </c>
      <c r="G31" s="29" t="s">
        <v>115</v>
      </c>
      <c r="H31" s="9" t="s">
        <v>116</v>
      </c>
      <c r="I31" s="28" t="s">
        <v>19</v>
      </c>
      <c r="J31" s="28" t="s">
        <v>117</v>
      </c>
      <c r="K31" s="7">
        <v>100</v>
      </c>
      <c r="L31" s="7">
        <v>1</v>
      </c>
      <c r="M31" s="8">
        <f t="shared" si="1"/>
        <v>6</v>
      </c>
      <c r="N31" s="58" t="s">
        <v>21</v>
      </c>
      <c r="O31" s="58"/>
    </row>
    <row r="32" spans="1:15" s="1" customFormat="1" ht="15.75" thickBot="1">
      <c r="A32" s="6">
        <v>30</v>
      </c>
      <c r="B32" s="101"/>
      <c r="C32" s="36" t="s">
        <v>118</v>
      </c>
      <c r="D32" s="10" t="s">
        <v>119</v>
      </c>
      <c r="E32" s="31" t="s">
        <v>91</v>
      </c>
      <c r="F32" s="31" t="s">
        <v>120</v>
      </c>
      <c r="G32" s="32" t="s">
        <v>60</v>
      </c>
      <c r="H32" s="12" t="s">
        <v>121</v>
      </c>
      <c r="I32" s="31" t="s">
        <v>19</v>
      </c>
      <c r="J32" s="31" t="s">
        <v>122</v>
      </c>
      <c r="K32" s="10">
        <v>100</v>
      </c>
      <c r="L32" s="12">
        <v>8</v>
      </c>
      <c r="M32" s="11">
        <f t="shared" si="1"/>
        <v>48</v>
      </c>
      <c r="N32" s="75" t="s">
        <v>21</v>
      </c>
      <c r="O32" s="75"/>
    </row>
    <row r="33" spans="1:15" ht="15.75" thickBot="1">
      <c r="A33" s="6">
        <v>31</v>
      </c>
      <c r="B33" s="100" t="s">
        <v>123</v>
      </c>
      <c r="C33" s="133" t="s">
        <v>185</v>
      </c>
      <c r="D33" s="137" t="s">
        <v>124</v>
      </c>
      <c r="E33" s="134" t="s">
        <v>182</v>
      </c>
      <c r="F33" s="135" t="s">
        <v>183</v>
      </c>
      <c r="G33" s="136" t="s">
        <v>184</v>
      </c>
      <c r="H33" s="34" t="s">
        <v>19</v>
      </c>
      <c r="I33" s="33" t="s">
        <v>19</v>
      </c>
      <c r="J33" s="34" t="s">
        <v>70</v>
      </c>
      <c r="K33" s="15">
        <v>7</v>
      </c>
      <c r="L33" s="15">
        <v>1</v>
      </c>
      <c r="M33" s="111">
        <f t="shared" si="1"/>
        <v>6</v>
      </c>
      <c r="N33" s="112" t="s">
        <v>21</v>
      </c>
      <c r="O33" s="112"/>
    </row>
    <row r="34" spans="1:15" ht="15.75" thickBot="1">
      <c r="A34" s="6">
        <v>32</v>
      </c>
      <c r="B34" s="100"/>
      <c r="C34" s="35" t="s">
        <v>125</v>
      </c>
      <c r="D34" s="28" t="s">
        <v>126</v>
      </c>
      <c r="E34" s="28" t="s">
        <v>127</v>
      </c>
      <c r="F34" s="28" t="s">
        <v>128</v>
      </c>
      <c r="G34" s="29" t="s">
        <v>129</v>
      </c>
      <c r="H34" s="9" t="s">
        <v>130</v>
      </c>
      <c r="I34" s="28" t="s">
        <v>19</v>
      </c>
      <c r="J34" s="29" t="s">
        <v>70</v>
      </c>
      <c r="K34" s="9">
        <v>6</v>
      </c>
      <c r="L34" s="9">
        <v>1</v>
      </c>
      <c r="M34" s="8">
        <f t="shared" si="1"/>
        <v>6</v>
      </c>
      <c r="N34" s="58" t="s">
        <v>21</v>
      </c>
      <c r="O34" s="58"/>
    </row>
    <row r="35" spans="1:15" ht="15.75" thickBot="1">
      <c r="A35" s="6">
        <v>33</v>
      </c>
      <c r="B35" s="100"/>
      <c r="C35" s="76" t="s">
        <v>170</v>
      </c>
      <c r="D35" s="77" t="s">
        <v>131</v>
      </c>
      <c r="E35" s="77" t="s">
        <v>171</v>
      </c>
      <c r="F35" s="78" t="s">
        <v>173</v>
      </c>
      <c r="G35" s="68" t="s">
        <v>172</v>
      </c>
      <c r="H35" s="64"/>
      <c r="I35" s="68" t="s">
        <v>19</v>
      </c>
      <c r="J35" s="69" t="s">
        <v>132</v>
      </c>
      <c r="K35" s="64">
        <v>6</v>
      </c>
      <c r="L35" s="64">
        <v>1</v>
      </c>
      <c r="M35" s="65">
        <f t="shared" si="1"/>
        <v>6</v>
      </c>
      <c r="N35" s="79" t="s">
        <v>88</v>
      </c>
      <c r="O35" s="79"/>
    </row>
    <row r="36" spans="1:15" ht="15.75" thickBot="1">
      <c r="A36" s="6">
        <v>34</v>
      </c>
      <c r="B36" s="99" t="s">
        <v>133</v>
      </c>
      <c r="C36" s="37" t="s">
        <v>134</v>
      </c>
      <c r="D36" s="38" t="s">
        <v>135</v>
      </c>
      <c r="E36" s="38" t="s">
        <v>136</v>
      </c>
      <c r="F36" s="38" t="s">
        <v>136</v>
      </c>
      <c r="G36" s="38" t="s">
        <v>137</v>
      </c>
      <c r="H36" s="38" t="s">
        <v>19</v>
      </c>
      <c r="I36" s="38" t="s">
        <v>19</v>
      </c>
      <c r="J36" s="38" t="s">
        <v>70</v>
      </c>
      <c r="K36" s="17">
        <v>100</v>
      </c>
      <c r="L36" s="17">
        <v>1</v>
      </c>
      <c r="M36" s="13">
        <f t="shared" si="1"/>
        <v>6</v>
      </c>
      <c r="N36" s="80" t="s">
        <v>138</v>
      </c>
      <c r="O36" s="80"/>
    </row>
    <row r="37" spans="1:15" ht="15.75" thickBot="1">
      <c r="A37" s="6">
        <v>35</v>
      </c>
      <c r="B37" s="100"/>
      <c r="C37" s="39" t="s">
        <v>139</v>
      </c>
      <c r="D37" s="40" t="s">
        <v>140</v>
      </c>
      <c r="E37" s="40" t="s">
        <v>44</v>
      </c>
      <c r="F37" s="40" t="s">
        <v>141</v>
      </c>
      <c r="G37" s="40" t="s">
        <v>142</v>
      </c>
      <c r="H37" s="40" t="s">
        <v>19</v>
      </c>
      <c r="I37" s="40" t="s">
        <v>19</v>
      </c>
      <c r="J37" s="41" t="s">
        <v>143</v>
      </c>
      <c r="K37" s="24">
        <v>12</v>
      </c>
      <c r="L37" s="18">
        <v>2</v>
      </c>
      <c r="M37" s="8">
        <f t="shared" si="1"/>
        <v>12</v>
      </c>
      <c r="N37" s="59" t="s">
        <v>144</v>
      </c>
      <c r="O37" s="59"/>
    </row>
    <row r="38" spans="1:15" ht="15.75" thickBot="1">
      <c r="A38" s="6">
        <v>36</v>
      </c>
      <c r="B38" s="100"/>
      <c r="C38" s="39" t="s">
        <v>145</v>
      </c>
      <c r="D38" s="40" t="s">
        <v>146</v>
      </c>
      <c r="E38" s="40" t="s">
        <v>44</v>
      </c>
      <c r="F38" s="40" t="s">
        <v>147</v>
      </c>
      <c r="G38" s="40" t="s">
        <v>137</v>
      </c>
      <c r="H38" s="40" t="s">
        <v>19</v>
      </c>
      <c r="I38" s="40" t="s">
        <v>19</v>
      </c>
      <c r="J38" s="41" t="s">
        <v>70</v>
      </c>
      <c r="K38" s="24">
        <v>10</v>
      </c>
      <c r="L38" s="18">
        <v>1</v>
      </c>
      <c r="M38" s="8">
        <f t="shared" si="1"/>
        <v>6</v>
      </c>
      <c r="N38" s="59" t="s">
        <v>138</v>
      </c>
      <c r="O38" s="59"/>
    </row>
    <row r="39" spans="1:15" ht="15.75" thickBot="1">
      <c r="A39" s="6">
        <v>37</v>
      </c>
      <c r="B39" s="100"/>
      <c r="C39" s="16" t="s">
        <v>148</v>
      </c>
      <c r="D39" s="28" t="s">
        <v>149</v>
      </c>
      <c r="E39" s="28" t="s">
        <v>44</v>
      </c>
      <c r="F39" s="28" t="s">
        <v>150</v>
      </c>
      <c r="G39" s="28" t="s">
        <v>151</v>
      </c>
      <c r="H39" s="28" t="s">
        <v>150</v>
      </c>
      <c r="I39" s="28" t="s">
        <v>19</v>
      </c>
      <c r="J39" s="29" t="s">
        <v>143</v>
      </c>
      <c r="K39" s="9">
        <v>20</v>
      </c>
      <c r="L39" s="7">
        <v>1</v>
      </c>
      <c r="M39" s="8">
        <f t="shared" si="1"/>
        <v>6</v>
      </c>
      <c r="N39" s="60" t="s">
        <v>21</v>
      </c>
      <c r="O39" s="60"/>
    </row>
    <row r="40" spans="1:15" ht="15.75" thickBot="1">
      <c r="A40" s="6">
        <v>38</v>
      </c>
      <c r="B40" s="100"/>
      <c r="C40" s="35" t="s">
        <v>152</v>
      </c>
      <c r="D40" s="28" t="s">
        <v>153</v>
      </c>
      <c r="E40" s="28" t="s">
        <v>154</v>
      </c>
      <c r="F40" s="28" t="s">
        <v>155</v>
      </c>
      <c r="G40" s="28" t="s">
        <v>156</v>
      </c>
      <c r="H40" s="9" t="s">
        <v>157</v>
      </c>
      <c r="I40" s="28" t="s">
        <v>19</v>
      </c>
      <c r="J40" s="29" t="s">
        <v>70</v>
      </c>
      <c r="K40" s="9">
        <v>15</v>
      </c>
      <c r="L40" s="9">
        <v>2</v>
      </c>
      <c r="M40" s="8">
        <f t="shared" si="1"/>
        <v>12</v>
      </c>
      <c r="N40" s="61" t="s">
        <v>21</v>
      </c>
      <c r="O40" s="61"/>
    </row>
    <row r="41" spans="1:15" ht="15.75" thickBot="1">
      <c r="A41" s="6">
        <v>39</v>
      </c>
      <c r="B41" s="100"/>
      <c r="C41" s="42" t="s">
        <v>158</v>
      </c>
      <c r="D41" s="19"/>
      <c r="E41" s="43" t="s">
        <v>159</v>
      </c>
      <c r="F41" s="19" t="s">
        <v>159</v>
      </c>
      <c r="G41" s="19"/>
      <c r="H41" s="19"/>
      <c r="I41" s="19"/>
      <c r="J41" s="19"/>
      <c r="K41" s="19"/>
      <c r="L41" s="19">
        <v>5</v>
      </c>
      <c r="M41" s="8">
        <f t="shared" si="1"/>
        <v>30</v>
      </c>
      <c r="N41" s="62" t="s">
        <v>19</v>
      </c>
      <c r="O41" s="62"/>
    </row>
    <row r="42" spans="1:15" ht="15.75" thickBot="1">
      <c r="A42" s="20">
        <v>40</v>
      </c>
      <c r="B42" s="101"/>
      <c r="C42" s="44" t="s">
        <v>160</v>
      </c>
      <c r="D42" s="21"/>
      <c r="E42" s="45" t="s">
        <v>161</v>
      </c>
      <c r="F42" s="21" t="s">
        <v>161</v>
      </c>
      <c r="G42" s="21"/>
      <c r="H42" s="21"/>
      <c r="I42" s="21"/>
      <c r="J42" s="21"/>
      <c r="K42" s="21"/>
      <c r="L42" s="21">
        <v>5</v>
      </c>
      <c r="M42" s="11">
        <f t="shared" si="1"/>
        <v>30</v>
      </c>
      <c r="N42" s="63" t="s">
        <v>19</v>
      </c>
      <c r="O42" s="63"/>
    </row>
    <row r="43" spans="1:15">
      <c r="A43"/>
      <c r="C43" s="22"/>
      <c r="D43" s="22"/>
      <c r="E43" s="22"/>
      <c r="F43" s="22"/>
      <c r="G43" s="22"/>
      <c r="H43" s="22"/>
      <c r="I43" s="22"/>
      <c r="J43" s="22"/>
      <c r="K43" s="22"/>
      <c r="O43" s="25"/>
    </row>
    <row r="44" spans="1:15">
      <c r="A44"/>
      <c r="C44" s="22"/>
      <c r="D44" s="22"/>
      <c r="E44" s="22"/>
      <c r="F44" s="22"/>
      <c r="G44" s="22"/>
      <c r="H44" s="22"/>
      <c r="I44" s="22"/>
      <c r="J44" s="22"/>
      <c r="K44" s="22"/>
    </row>
    <row r="45" spans="1:15">
      <c r="A45"/>
    </row>
    <row r="46" spans="1:15">
      <c r="A46"/>
    </row>
    <row r="47" spans="1:15">
      <c r="A47"/>
    </row>
    <row r="48" spans="1:15">
      <c r="A48"/>
    </row>
    <row r="49" spans="1:15">
      <c r="A49"/>
    </row>
    <row r="50" spans="1:15">
      <c r="A50"/>
    </row>
    <row r="51" spans="1:15">
      <c r="A51"/>
    </row>
    <row r="52" spans="1:15" ht="15.75" customHeight="1">
      <c r="A52"/>
      <c r="N52" s="53"/>
      <c r="O52" s="53"/>
    </row>
    <row r="53" spans="1:15">
      <c r="A53"/>
    </row>
    <row r="54" spans="1:15">
      <c r="A54"/>
    </row>
    <row r="55" spans="1:15">
      <c r="A55"/>
    </row>
    <row r="56" spans="1:15">
      <c r="A56"/>
    </row>
    <row r="57" spans="1:15">
      <c r="A57"/>
    </row>
    <row r="58" spans="1:15">
      <c r="H58" s="23"/>
    </row>
    <row r="59" spans="1:15">
      <c r="H59" s="23"/>
    </row>
  </sheetData>
  <mergeCells count="7">
    <mergeCell ref="B3:B13"/>
    <mergeCell ref="B14:B17"/>
    <mergeCell ref="B22:B32"/>
    <mergeCell ref="B33:B35"/>
    <mergeCell ref="B36:B42"/>
    <mergeCell ref="B20:B21"/>
    <mergeCell ref="A1:O1"/>
  </mergeCells>
  <phoneticPr fontId="20" type="noConversion"/>
  <conditionalFormatting sqref="N21:O2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L36:M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N32:O3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L12:L35 L40 M3:M4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:L1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4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 O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{C3E05EE2-5FD9-4A95-BA99-400BB7B88162}</x14:id>
        </ext>
      </extLst>
    </cfRule>
  </conditionalFormatting>
  <hyperlinks>
    <hyperlink ref="N9" r:id="rId1" xr:uid="{00000000-0004-0000-0000-000000000000}"/>
    <hyperlink ref="N10" r:id="rId2" xr:uid="{00000000-0004-0000-0000-000001000000}"/>
    <hyperlink ref="N13" r:id="rId3" xr:uid="{00000000-0004-0000-0000-000004000000}"/>
    <hyperlink ref="N14" r:id="rId4" xr:uid="{00000000-0004-0000-0000-000005000000}"/>
    <hyperlink ref="N17" r:id="rId5" xr:uid="{00000000-0004-0000-0000-000006000000}"/>
    <hyperlink ref="N22" r:id="rId6" xr:uid="{00000000-0004-0000-0000-000007000000}"/>
    <hyperlink ref="N28" r:id="rId7" xr:uid="{00000000-0004-0000-0000-000008000000}"/>
    <hyperlink ref="N29" r:id="rId8" xr:uid="{00000000-0004-0000-0000-000009000000}"/>
    <hyperlink ref="N31" r:id="rId9" xr:uid="{00000000-0004-0000-0000-00000B000000}"/>
    <hyperlink ref="N32" r:id="rId10" xr:uid="{00000000-0004-0000-0000-00000C000000}"/>
    <hyperlink ref="N34" r:id="rId11" xr:uid="{00000000-0004-0000-0000-00000D000000}"/>
    <hyperlink ref="N40" r:id="rId12" xr:uid="{00000000-0004-0000-0000-00000F000000}"/>
    <hyperlink ref="N8" r:id="rId13" xr:uid="{00000000-0004-0000-0000-000010000000}"/>
    <hyperlink ref="N30" r:id="rId14" xr:uid="{00000000-0004-0000-0000-000012000000}"/>
    <hyperlink ref="N3" r:id="rId15" xr:uid="{00000000-0004-0000-0000-000014000000}"/>
    <hyperlink ref="N6" r:id="rId16" xr:uid="{00000000-0004-0000-0000-000015000000}"/>
    <hyperlink ref="N7" r:id="rId17" xr:uid="{00000000-0004-0000-0000-000016000000}"/>
    <hyperlink ref="N36" r:id="rId18" xr:uid="{00000000-0004-0000-0000-000017000000}"/>
    <hyperlink ref="N38" r:id="rId19" xr:uid="{00000000-0004-0000-0000-000018000000}"/>
    <hyperlink ref="N18" r:id="rId20" xr:uid="{00000000-0004-0000-0000-000019000000}"/>
    <hyperlink ref="N39" r:id="rId21" xr:uid="{00000000-0004-0000-0000-00001A000000}"/>
    <hyperlink ref="N20" r:id="rId22" xr:uid="{5EAF2F70-555A-4B25-966F-95095861DC0E}"/>
    <hyperlink ref="N23" r:id="rId23" xr:uid="{6B884554-8BB6-4BF7-8096-D834E9729A06}"/>
    <hyperlink ref="N11" r:id="rId24" xr:uid="{44B658D6-BFFD-46B9-B230-29405BAF9534}"/>
    <hyperlink ref="N12" r:id="rId25" xr:uid="{367FEFFE-61E8-47BB-BCCA-FD3358349566}"/>
    <hyperlink ref="N33" r:id="rId26" xr:uid="{D1D06D79-D259-47BA-BC7F-8742EAB7848C}"/>
    <hyperlink ref="N24" r:id="rId27" xr:uid="{5545F658-0692-42E9-BD6F-76E0A6B030B0}"/>
    <hyperlink ref="N26" r:id="rId28" xr:uid="{168ECF43-5CE3-4702-A056-8FA8BBC47676}"/>
    <hyperlink ref="N25" r:id="rId29" xr:uid="{EA5E5506-441F-4FE0-B453-D92044CD3CD6}"/>
    <hyperlink ref="N27" r:id="rId30" xr:uid="{8D8C1B68-82FF-4307-AFCC-0412DDB5B0BE}"/>
    <hyperlink ref="N4" r:id="rId31" xr:uid="{2EF0B57E-A4CF-4AC0-9358-948CDF39D8B4}"/>
    <hyperlink ref="C15" r:id="rId32" xr:uid="{44A99C6C-4AC4-4D03-96BE-D592031C9536}"/>
    <hyperlink ref="N15" r:id="rId33" xr:uid="{1A7B0E41-616E-45F1-BF6C-4CBB22A55EC6}"/>
    <hyperlink ref="N19" r:id="rId34" xr:uid="{0E9DC705-3503-4FA0-87A9-DF2A5B60045D}"/>
    <hyperlink ref="N16" r:id="rId35" xr:uid="{E7A9FE43-2492-4F96-944F-8153D9DD3BC5}"/>
    <hyperlink ref="N5" r:id="rId36" xr:uid="{307763C7-77E9-4298-8365-93694DC5AA9D}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N21:O21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N32:O32</xm:sqref>
        </x14:conditionalFormatting>
        <x14:conditionalFormatting xmlns:xm="http://schemas.microsoft.com/office/excel/2006/main">
          <x14:cfRule type="dataBar" id="{C3E05EE2-5FD9-4A95-BA99-400BB7B881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 O6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2022-04-21T06:40:11Z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