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GitHub\ChristianRaun-EthercatDesign\Deliverables\Interface_Board\BOM\"/>
    </mc:Choice>
  </mc:AlternateContent>
  <xr:revisionPtr revIDLastSave="0" documentId="13_ncr:1_{A4AC0271-9438-4137-BC8F-87A3C52BEC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6" i="1" l="1"/>
  <c r="L19" i="1"/>
  <c r="L15" i="1"/>
  <c r="L4" i="1"/>
  <c r="L5" i="1"/>
  <c r="L27" i="1"/>
  <c r="L24" i="1"/>
  <c r="L25" i="1"/>
  <c r="L26" i="1"/>
  <c r="L20" i="1"/>
  <c r="L23" i="1"/>
  <c r="L6" i="1"/>
  <c r="L7" i="1"/>
  <c r="L8" i="1"/>
  <c r="L9" i="1"/>
  <c r="L10" i="1"/>
  <c r="L11" i="1"/>
  <c r="L12" i="1"/>
  <c r="L13" i="1"/>
  <c r="L14" i="1"/>
  <c r="L17" i="1"/>
  <c r="L18" i="1"/>
  <c r="L21" i="1"/>
  <c r="L22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3" i="1"/>
</calcChain>
</file>

<file path=xl/sharedStrings.xml><?xml version="1.0" encoding="utf-8"?>
<sst xmlns="http://schemas.openxmlformats.org/spreadsheetml/2006/main" count="373" uniqueCount="250">
  <si>
    <t>Bill of Material (BOM) for Interface_Board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</si>
  <si>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</si>
  <si>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</si>
  <si>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</si>
  <si>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</si>
  <si>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</si>
  <si>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</si>
  <si>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</si>
  <si>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</si>
  <si>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</si>
  <si>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</si>
  <si>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Quantity (Per Board)</t>
  </si>
  <si>
    <t>Capacitor</t>
  </si>
  <si>
    <t>CAP CER 0.1UF 100V X7R 0603</t>
  </si>
  <si>
    <t>Cap0603</t>
  </si>
  <si>
    <t>CC0603KRX7R0BB104</t>
  </si>
  <si>
    <t>Yageo</t>
  </si>
  <si>
    <t>C113803</t>
  </si>
  <si>
    <t>------------</t>
  </si>
  <si>
    <t>0.1uF</t>
  </si>
  <si>
    <t>LCSC</t>
  </si>
  <si>
    <t>CAP CER 1UF 100V X7S 0805</t>
  </si>
  <si>
    <t>C45</t>
  </si>
  <si>
    <t>Cap0805</t>
  </si>
  <si>
    <t>GCM21BC72A105KE36L</t>
  </si>
  <si>
    <t>Murata</t>
  </si>
  <si>
    <t>C2842838</t>
  </si>
  <si>
    <t>1uF</t>
  </si>
  <si>
    <t>CAP CER 10PF 50V C0G/NP0 0603</t>
  </si>
  <si>
    <t>C48, C49, C50, C51, C52, C53, C54, C55</t>
  </si>
  <si>
    <t>06035A100JAT2A</t>
  </si>
  <si>
    <t>Kyocera AVX</t>
  </si>
  <si>
    <t>C525235</t>
  </si>
  <si>
    <t>FN18N100J500PSG</t>
  </si>
  <si>
    <t>10pF</t>
  </si>
  <si>
    <t>CAP CER 0.022UF 100V X7R 0603</t>
  </si>
  <si>
    <t>CGA3E2X7R2A223K080AA</t>
  </si>
  <si>
    <t xml:space="preserve">TDK </t>
  </si>
  <si>
    <t>C21122</t>
  </si>
  <si>
    <t xml:space="preserve">CL10B223KB8NNNC
</t>
  </si>
  <si>
    <t>22nF</t>
  </si>
  <si>
    <t>25V 5mm 10mm 100uF 100kHz SMD,5x10mm Aluminum Electrolytic Cap- SMD ROHS</t>
  </si>
  <si>
    <t>C43</t>
  </si>
  <si>
    <t>Custom</t>
  </si>
  <si>
    <t>VKMB1001E101MV</t>
  </si>
  <si>
    <t xml:space="preserve">Ymin </t>
  </si>
  <si>
    <t>C487322</t>
  </si>
  <si>
    <t>100uF</t>
  </si>
  <si>
    <t>63V 10mm 8mm 100uF ±20% ,8x10mm Aluminum Electrolytic Cap</t>
  </si>
  <si>
    <t>VKMD1001J101MV</t>
  </si>
  <si>
    <t>C487384</t>
  </si>
  <si>
    <t>C1</t>
  </si>
  <si>
    <t>10uF</t>
  </si>
  <si>
    <t>C2</t>
  </si>
  <si>
    <t>22uF</t>
  </si>
  <si>
    <t xml:space="preserve">CAP CER 1000PF 2KV X7R 1206
</t>
  </si>
  <si>
    <t>C58</t>
  </si>
  <si>
    <t>Cap1206</t>
  </si>
  <si>
    <t>CC1206KKX7RDBB102</t>
  </si>
  <si>
    <t>YAGEO</t>
  </si>
  <si>
    <t>C23631</t>
  </si>
  <si>
    <t>1000pF</t>
  </si>
  <si>
    <t>Diode</t>
  </si>
  <si>
    <t xml:space="preserve">DIODE SCHOTTKY 30V 3A CFP5
</t>
  </si>
  <si>
    <t>D2</t>
  </si>
  <si>
    <t xml:space="preserve">SOD-128
</t>
  </si>
  <si>
    <t>PMEG3030EP,115</t>
  </si>
  <si>
    <t xml:space="preserve">Nexperia </t>
  </si>
  <si>
    <t>C255587</t>
  </si>
  <si>
    <t>-----</t>
  </si>
  <si>
    <t>SOD-523 Schottky Barrier Diodes (SBD) ROHS</t>
  </si>
  <si>
    <t>D3</t>
  </si>
  <si>
    <t>SOD-523</t>
  </si>
  <si>
    <t>MSK4010</t>
  </si>
  <si>
    <t>Tak Cheong</t>
  </si>
  <si>
    <t>C968723</t>
  </si>
  <si>
    <t>Mosfet</t>
  </si>
  <si>
    <t>MOSFET N-CH 20V 4.2A SOT23</t>
  </si>
  <si>
    <t>Q1</t>
  </si>
  <si>
    <t>SOT-23</t>
  </si>
  <si>
    <t>IRLML2502TRPBF</t>
  </si>
  <si>
    <t xml:space="preserve"> INFINEON</t>
  </si>
  <si>
    <t>Inductor</t>
  </si>
  <si>
    <t>FIXED IND 33UH 2.5A 189.2MOHM SM</t>
  </si>
  <si>
    <t>L10</t>
  </si>
  <si>
    <t>ETQ-P4M330YFN</t>
  </si>
  <si>
    <t xml:space="preserve">Panasonic </t>
  </si>
  <si>
    <t>Custom Supplier</t>
  </si>
  <si>
    <t>Resistor</t>
  </si>
  <si>
    <t>RES SMD 10K OHM 5% 1/10W 0603</t>
  </si>
  <si>
    <t>Res0603</t>
  </si>
  <si>
    <t>AC0603JR-0710KL</t>
  </si>
  <si>
    <t>C140867</t>
  </si>
  <si>
    <t>10K</t>
  </si>
  <si>
    <t>RES  SMD 330R 100 mW 0603</t>
  </si>
  <si>
    <t xml:space="preserve"> R33, R39</t>
  </si>
  <si>
    <t>RC0603JR-07330RL</t>
  </si>
  <si>
    <t>C105879</t>
  </si>
  <si>
    <t>330R</t>
  </si>
  <si>
    <t>RES SMD 1K OHM 1% 1/10W 0603</t>
  </si>
  <si>
    <t>RC0603FR-071KL</t>
  </si>
  <si>
    <t>C22548</t>
  </si>
  <si>
    <t>1K</t>
  </si>
  <si>
    <t>RES 2512</t>
  </si>
  <si>
    <t>RES 0.075 OHM 1% 2W 2512</t>
  </si>
  <si>
    <t>R27</t>
  </si>
  <si>
    <t>CSRN2512FK75L0</t>
  </si>
  <si>
    <t xml:space="preserve">Stackpole </t>
  </si>
  <si>
    <t>C705611</t>
  </si>
  <si>
    <t xml:space="preserve">RL2512FK-070R075L
</t>
  </si>
  <si>
    <t>75m</t>
  </si>
  <si>
    <t>RES SMD 9kΩ ±100ppm/℃ 0.125W 0805</t>
  </si>
  <si>
    <t>R28</t>
  </si>
  <si>
    <t>0805W8F9001T5E</t>
  </si>
  <si>
    <t>UNI-ROYAL</t>
  </si>
  <si>
    <t>C247026</t>
  </si>
  <si>
    <t>9K</t>
  </si>
  <si>
    <t xml:space="preserve">RES 49.9K OHM 1% 1/10W 0603
</t>
  </si>
  <si>
    <t>R30, R31, R32, R34, R35, R36, R37, R38</t>
  </si>
  <si>
    <t>RC0603FR-0749K9L</t>
  </si>
  <si>
    <t>C114624</t>
  </si>
  <si>
    <t>49K9</t>
  </si>
  <si>
    <t>IC</t>
  </si>
  <si>
    <t>U3</t>
  </si>
  <si>
    <t>2A 40V SOIC-8_EP_150mil DC-DC Converters ROHS</t>
  </si>
  <si>
    <t>U7</t>
  </si>
  <si>
    <t>8-SOIC</t>
  </si>
  <si>
    <t>XL4001E1</t>
  </si>
  <si>
    <t xml:space="preserve">XLSEMI </t>
  </si>
  <si>
    <t>C73347</t>
  </si>
  <si>
    <t>U1</t>
  </si>
  <si>
    <t>---</t>
  </si>
  <si>
    <t>Connector</t>
  </si>
  <si>
    <t>P=2.54mm Female Headers,SMD,ROHS</t>
  </si>
  <si>
    <t>J1</t>
  </si>
  <si>
    <t>PHF254SMD-x</t>
  </si>
  <si>
    <t>RTLECS</t>
  </si>
  <si>
    <t>Aliexpress</t>
  </si>
  <si>
    <t>10/100 BASE-TX RJ45 WITH LEDS_x000D_
INTEGRATED MAGNETICS CONNECTOR</t>
  </si>
  <si>
    <t>J2, J3</t>
  </si>
  <si>
    <t>SK07-111071ENL</t>
  </si>
  <si>
    <t>SAK ELECTRONICS CO.,LTD</t>
  </si>
  <si>
    <t>----</t>
  </si>
  <si>
    <t>Local Supplier</t>
  </si>
  <si>
    <t>CONN HEADER 4 POS 2.54mm SMD</t>
  </si>
  <si>
    <t>J4</t>
  </si>
  <si>
    <t>1125N1202SNM</t>
  </si>
  <si>
    <t>2.54mm Black Brass Plugin,P=2.54mm Pin Headers ROHS</t>
  </si>
  <si>
    <t>P1</t>
  </si>
  <si>
    <t>C37208</t>
  </si>
  <si>
    <t>BOOMELEC</t>
  </si>
  <si>
    <t>CONN HEADER VERT 2POS 2.54MM</t>
  </si>
  <si>
    <t>P2, P3</t>
  </si>
  <si>
    <t>HDR1X2</t>
  </si>
  <si>
    <t>826629-2</t>
  </si>
  <si>
    <t>TE Connectivity</t>
  </si>
  <si>
    <t>C86471</t>
  </si>
  <si>
    <t>Solder Bridge ON</t>
  </si>
  <si>
    <t>Solder Bridge</t>
  </si>
  <si>
    <t>Test Point ON</t>
  </si>
  <si>
    <t>TEST POINT</t>
  </si>
  <si>
    <t>CAP CER 10UF 25V X5R 0603</t>
  </si>
  <si>
    <t>GRM188R61E106MA73J</t>
  </si>
  <si>
    <t>CAP CER 22UF 25V X5R 0805</t>
  </si>
  <si>
    <t>CC0805MKX5R8BB226</t>
  </si>
  <si>
    <t>RES SMD 100K OHM 5% 1/5W 0603</t>
  </si>
  <si>
    <t>R2</t>
  </si>
  <si>
    <t>CRGH0603J100K</t>
  </si>
  <si>
    <t>100K</t>
  </si>
  <si>
    <t>Buck Switching Regulator IC Positive Fixed 3.3V 1 Output 1A 8-WFDFN Exposed Pad</t>
  </si>
  <si>
    <t>8-WSON (2x2)</t>
  </si>
  <si>
    <t>Texas Instruments</t>
  </si>
  <si>
    <t>TPS62162DSGR</t>
  </si>
  <si>
    <t>IND SMD 1.5A 2.2uH ±20% 135mΩ</t>
  </si>
  <si>
    <t>L1</t>
  </si>
  <si>
    <t>MCS20FC-2R2MMP</t>
  </si>
  <si>
    <t>PSA(Prosperity Dielectrics)</t>
  </si>
  <si>
    <t>C375949</t>
  </si>
  <si>
    <t>Digikey</t>
  </si>
  <si>
    <t>Ref Link</t>
  </si>
  <si>
    <t>Quantity 6</t>
  </si>
  <si>
    <t xml:space="preserve">TMC2130-LA-T
</t>
  </si>
  <si>
    <t xml:space="preserve">TRINAMIC </t>
  </si>
  <si>
    <t>C915795</t>
  </si>
  <si>
    <t xml:space="preserve">QFN-36 Motor Driver ICs ROHS
</t>
  </si>
  <si>
    <t>R29</t>
  </si>
  <si>
    <t>R#3</t>
  </si>
  <si>
    <t>RT0603BRE0722KL</t>
  </si>
  <si>
    <t xml:space="preserve">YAGEO </t>
  </si>
  <si>
    <t>C705830</t>
  </si>
  <si>
    <t>R#4</t>
  </si>
  <si>
    <t xml:space="preserve">RC0603FR-072R2L
</t>
  </si>
  <si>
    <t>C112307</t>
  </si>
  <si>
    <t xml:space="preserve">RES SMD 22K OHM 0.1% 1/10W 0603
</t>
  </si>
  <si>
    <t xml:space="preserve">RES 2.2 OHM 1% 1/10W 0603
</t>
  </si>
  <si>
    <t xml:space="preserve">RC0603JR-07100RL
</t>
  </si>
  <si>
    <t xml:space="preserve">RES 100 OHM 5% 1/10W 0603
</t>
  </si>
  <si>
    <t>R#5</t>
  </si>
  <si>
    <t>C110091</t>
  </si>
  <si>
    <t>22K</t>
  </si>
  <si>
    <t>2.2R</t>
  </si>
  <si>
    <t>100R</t>
  </si>
  <si>
    <t>150mR</t>
  </si>
  <si>
    <t>R#6,R#7</t>
  </si>
  <si>
    <t>CL10A475KA8NQNC</t>
  </si>
  <si>
    <t xml:space="preserve">CAP CER 4.7UF 25V X5R 0603
</t>
  </si>
  <si>
    <t>C#5</t>
  </si>
  <si>
    <t xml:space="preserve">Samsung </t>
  </si>
  <si>
    <t>C69335</t>
  </si>
  <si>
    <t>4.7uF</t>
  </si>
  <si>
    <t>CL10B474KA8NNNC</t>
  </si>
  <si>
    <t>470nF</t>
  </si>
  <si>
    <t>C#6,C#7</t>
  </si>
  <si>
    <t xml:space="preserve">MMSZ5V6CW
</t>
  </si>
  <si>
    <t>SOD123G</t>
  </si>
  <si>
    <t>D4</t>
  </si>
  <si>
    <t xml:space="preserve">1μA@2V 40Ω Single 5.2V~6V 500mW 5.6V SOD123G Zener Diodes ROHS
</t>
  </si>
  <si>
    <t xml:space="preserve">Yangzhou </t>
  </si>
  <si>
    <t>C700475</t>
  </si>
  <si>
    <t>Transistor</t>
  </si>
  <si>
    <t>Q2</t>
  </si>
  <si>
    <t>80V 500mW 1A 63@150mA,2V 130MHz 500mV@500mA,50mA NPN +150℃@(Tj) SOT-89(SOT-89-3) Bipolar Transistors - BJT ROHS</t>
  </si>
  <si>
    <t>SOT-89</t>
  </si>
  <si>
    <t>BCX56</t>
  </si>
  <si>
    <t xml:space="preserve">Changjiang </t>
  </si>
  <si>
    <t>-----------</t>
  </si>
  <si>
    <t>----------</t>
  </si>
  <si>
    <t>SMBJ43A</t>
  </si>
  <si>
    <t>SMB</t>
  </si>
  <si>
    <t>D5</t>
  </si>
  <si>
    <t xml:space="preserve">8.6A 69.4V 47.8V 43V Unidirectional SMB(DO-214AA) TVS ROHS
</t>
  </si>
  <si>
    <t>RUILON</t>
  </si>
  <si>
    <t xml:space="preserve">C10222
</t>
  </si>
  <si>
    <t>--------</t>
  </si>
  <si>
    <t>-------</t>
  </si>
  <si>
    <t>------</t>
  </si>
  <si>
    <t>C44, C#9, C#10</t>
  </si>
  <si>
    <t>C56, C57, C#8</t>
  </si>
  <si>
    <r>
      <t>C#1,C#2,C#3,C#4,</t>
    </r>
    <r>
      <rPr>
        <sz val="11"/>
        <color rgb="FFFF0000"/>
        <rFont val="Calibri"/>
        <family val="2"/>
        <scheme val="minor"/>
      </rPr>
      <t>C#11,C#12</t>
    </r>
  </si>
  <si>
    <t>Remarks</t>
  </si>
  <si>
    <t>Increase Quantity +2</t>
  </si>
  <si>
    <t xml:space="preserve">CAP CER 0.47UF 100V X7S 0805
</t>
  </si>
  <si>
    <t>C342818</t>
  </si>
  <si>
    <t>Voltage Rating and Package Change 0805</t>
  </si>
  <si>
    <t>R1,R#,R#1</t>
  </si>
  <si>
    <t>C37936</t>
  </si>
  <si>
    <t>1206W4F150LT5E</t>
  </si>
  <si>
    <t>Res1206</t>
  </si>
  <si>
    <t xml:space="preserve">±1% 1/4W Thick Film Resistors 200V ±800ppm/℃ -55℃~+155℃ 150mΩ 1206 Chip Resistor - Surface Mount ROHS
</t>
  </si>
  <si>
    <t>Wattage Rating and Package Change 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</si>
</sst>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rgb="FF333333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Font="1"/>
    <xf numFmtId="0" fontId="0" fillId="4" borderId="8" xfId="0" quotePrefix="1" applyFont="1" applyFill="1" applyBorder="1" applyAlignment="1">
      <alignment horizontal="center" vertical="center"/>
    </xf>
    <xf numFmtId="0" fontId="9" fillId="4" borderId="8" xfId="0" quotePrefix="1" applyFont="1" applyFill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/>
    </xf>
    <xf numFmtId="0" fontId="9" fillId="4" borderId="11" xfId="0" quotePrefix="1" applyFont="1" applyFill="1" applyBorder="1" applyAlignment="1">
      <alignment horizontal="center" vertical="center"/>
    </xf>
    <xf numFmtId="0" fontId="8" fillId="4" borderId="11" xfId="0" quotePrefix="1" applyFont="1" applyFill="1" applyBorder="1" applyAlignment="1">
      <alignment horizontal="center" vertical="center"/>
    </xf>
    <xf numFmtId="0" fontId="0" fillId="4" borderId="14" xfId="0" quotePrefix="1" applyFont="1" applyFill="1" applyBorder="1" applyAlignment="1">
      <alignment horizontal="center" vertical="center"/>
    </xf>
    <xf numFmtId="0" fontId="9" fillId="4" borderId="14" xfId="0" quotePrefix="1" applyFont="1" applyFill="1" applyBorder="1" applyAlignment="1">
      <alignment horizontal="center" vertical="center"/>
    </xf>
    <xf numFmtId="0" fontId="0" fillId="4" borderId="15" xfId="0" quotePrefix="1" applyFont="1" applyFill="1" applyBorder="1" applyAlignment="1">
      <alignment horizontal="center" vertical="center"/>
    </xf>
    <xf numFmtId="0" fontId="9" fillId="4" borderId="15" xfId="0" quotePrefix="1" applyFont="1" applyFill="1" applyBorder="1" applyAlignment="1">
      <alignment horizontal="center" vertical="center"/>
    </xf>
    <xf numFmtId="0" fontId="0" fillId="4" borderId="10" xfId="0" quotePrefix="1" applyFont="1" applyFill="1" applyBorder="1" applyAlignment="1">
      <alignment horizontal="left" vertical="center"/>
    </xf>
    <xf numFmtId="0" fontId="0" fillId="4" borderId="13" xfId="0" quotePrefix="1" applyFont="1" applyFill="1" applyBorder="1" applyAlignment="1">
      <alignment horizontal="left" vertical="center"/>
    </xf>
    <xf numFmtId="0" fontId="0" fillId="5" borderId="7" xfId="0" quotePrefix="1" applyFont="1" applyFill="1" applyBorder="1" applyAlignment="1">
      <alignment horizontal="left" vertical="center"/>
    </xf>
    <xf numFmtId="0" fontId="0" fillId="5" borderId="8" xfId="0" quotePrefix="1" applyFont="1" applyFill="1" applyBorder="1" applyAlignment="1">
      <alignment horizontal="center" vertical="center"/>
    </xf>
    <xf numFmtId="0" fontId="0" fillId="5" borderId="10" xfId="0" quotePrefix="1" applyFont="1" applyFill="1" applyBorder="1" applyAlignment="1">
      <alignment horizontal="left" vertical="center"/>
    </xf>
    <xf numFmtId="0" fontId="0" fillId="5" borderId="11" xfId="0" quotePrefix="1" applyFont="1" applyFill="1" applyBorder="1" applyAlignment="1">
      <alignment horizontal="center" vertical="center"/>
    </xf>
    <xf numFmtId="0" fontId="9" fillId="5" borderId="11" xfId="0" quotePrefix="1" applyFont="1" applyFill="1" applyBorder="1" applyAlignment="1">
      <alignment horizontal="center" vertical="center"/>
    </xf>
    <xf numFmtId="0" fontId="11" fillId="6" borderId="10" xfId="0" quotePrefix="1" applyFont="1" applyFill="1" applyBorder="1" applyAlignment="1">
      <alignment horizontal="left" vertical="center"/>
    </xf>
    <xf numFmtId="0" fontId="11" fillId="6" borderId="11" xfId="0" quotePrefix="1" applyFont="1" applyFill="1" applyBorder="1" applyAlignment="1">
      <alignment horizontal="center" vertical="center"/>
    </xf>
    <xf numFmtId="0" fontId="11" fillId="6" borderId="13" xfId="0" quotePrefix="1" applyFont="1" applyFill="1" applyBorder="1" applyAlignment="1">
      <alignment horizontal="left" vertical="center"/>
    </xf>
    <xf numFmtId="0" fontId="11" fillId="6" borderId="14" xfId="0" quotePrefix="1" applyFont="1" applyFill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10" fillId="5" borderId="13" xfId="0" quotePrefix="1" applyFont="1" applyFill="1" applyBorder="1" applyAlignment="1">
      <alignment horizontal="left" vertical="center"/>
    </xf>
    <xf numFmtId="0" fontId="10" fillId="5" borderId="14" xfId="0" quotePrefix="1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164" fontId="15" fillId="5" borderId="16" xfId="1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4" borderId="11" xfId="0" quotePrefix="1" applyFill="1" applyBorder="1" applyAlignment="1">
      <alignment horizontal="center" vertical="center"/>
    </xf>
    <xf numFmtId="0" fontId="13" fillId="0" borderId="0" xfId="1"/>
    <xf numFmtId="0" fontId="3" fillId="4" borderId="11" xfId="0" quotePrefix="1" applyFont="1" applyFill="1" applyBorder="1" applyAlignment="1">
      <alignment horizontal="center" vertical="center"/>
    </xf>
    <xf numFmtId="0" fontId="20" fillId="4" borderId="11" xfId="0" quotePrefix="1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3" fillId="4" borderId="21" xfId="1" quotePrefix="1" applyFill="1" applyBorder="1" applyAlignment="1">
      <alignment horizontal="center" vertical="center"/>
    </xf>
    <xf numFmtId="0" fontId="14" fillId="4" borderId="21" xfId="1" quotePrefix="1" applyFont="1" applyFill="1" applyBorder="1" applyAlignment="1">
      <alignment horizontal="center" vertical="center"/>
    </xf>
    <xf numFmtId="0" fontId="13" fillId="5" borderId="21" xfId="1" applyFont="1" applyFill="1" applyBorder="1" applyAlignment="1">
      <alignment horizontal="center" vertical="center"/>
    </xf>
    <xf numFmtId="0" fontId="13" fillId="4" borderId="21" xfId="1" applyFill="1" applyBorder="1" applyAlignment="1">
      <alignment horizontal="center" vertical="center"/>
    </xf>
    <xf numFmtId="0" fontId="13" fillId="4" borderId="21" xfId="1" quotePrefix="1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7" xfId="0" quotePrefix="1" applyBorder="1"/>
    <xf numFmtId="0" fontId="13" fillId="4" borderId="20" xfId="1" quotePrefix="1" applyFill="1" applyBorder="1" applyAlignment="1">
      <alignment horizontal="center" vertical="center"/>
    </xf>
    <xf numFmtId="0" fontId="0" fillId="4" borderId="24" xfId="0" quotePrefix="1" applyFont="1" applyFill="1" applyBorder="1" applyAlignment="1">
      <alignment horizontal="center" vertical="center"/>
    </xf>
    <xf numFmtId="0" fontId="9" fillId="4" borderId="24" xfId="0" quotePrefix="1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13" fillId="4" borderId="27" xfId="1" quotePrefix="1" applyFill="1" applyBorder="1" applyAlignment="1">
      <alignment horizontal="center" vertical="center"/>
    </xf>
    <xf numFmtId="0" fontId="0" fillId="4" borderId="26" xfId="0" quotePrefix="1" applyFont="1" applyFill="1" applyBorder="1" applyAlignment="1">
      <alignment horizontal="left" vertical="center"/>
    </xf>
    <xf numFmtId="0" fontId="0" fillId="4" borderId="17" xfId="0" quotePrefix="1" applyFont="1" applyFill="1" applyBorder="1" applyAlignment="1">
      <alignment horizontal="center" vertical="center"/>
    </xf>
    <xf numFmtId="0" fontId="9" fillId="4" borderId="17" xfId="0" quotePrefix="1" applyFont="1" applyFill="1" applyBorder="1" applyAlignment="1">
      <alignment horizontal="center" vertical="center"/>
    </xf>
    <xf numFmtId="164" fontId="14" fillId="4" borderId="16" xfId="1" applyNumberFormat="1" applyFont="1" applyFill="1" applyBorder="1" applyAlignment="1">
      <alignment horizontal="center" vertical="center"/>
    </xf>
    <xf numFmtId="0" fontId="0" fillId="0" borderId="19" xfId="0" quotePrefix="1" applyBorder="1" applyAlignment="1">
      <alignment horizontal="left" vertical="top"/>
    </xf>
    <xf numFmtId="0" fontId="0" fillId="0" borderId="24" xfId="0" quotePrefix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7" fillId="4" borderId="25" xfId="1" quotePrefix="1" applyFont="1" applyFill="1" applyBorder="1" applyAlignment="1">
      <alignment horizontal="center" vertical="center"/>
    </xf>
    <xf numFmtId="0" fontId="16" fillId="5" borderId="20" xfId="1" applyFont="1" applyFill="1" applyBorder="1" applyAlignment="1">
      <alignment horizontal="center" vertical="center"/>
    </xf>
    <xf numFmtId="0" fontId="0" fillId="6" borderId="11" xfId="0" quotePrefix="1" applyFont="1" applyFill="1" applyBorder="1" applyAlignment="1">
      <alignment horizontal="center" vertical="center"/>
    </xf>
    <xf numFmtId="0" fontId="3" fillId="6" borderId="11" xfId="0" quotePrefix="1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/>
    </xf>
    <xf numFmtId="0" fontId="0" fillId="6" borderId="7" xfId="0" quotePrefix="1" applyFont="1" applyFill="1" applyBorder="1" applyAlignment="1">
      <alignment horizontal="left" vertical="center"/>
    </xf>
    <xf numFmtId="0" fontId="0" fillId="6" borderId="8" xfId="0" quotePrefix="1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9" fillId="6" borderId="8" xfId="0" quotePrefix="1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  <xf numFmtId="164" fontId="13" fillId="6" borderId="20" xfId="1" applyNumberFormat="1" applyFont="1" applyFill="1" applyBorder="1" applyAlignment="1">
      <alignment horizontal="center" vertical="center"/>
    </xf>
    <xf numFmtId="0" fontId="22" fillId="6" borderId="11" xfId="0" applyFont="1" applyFill="1" applyBorder="1" applyAlignment="1">
      <alignment horizontal="center" vertical="center"/>
    </xf>
    <xf numFmtId="0" fontId="9" fillId="6" borderId="11" xfId="0" quotePrefix="1" applyFont="1" applyFill="1" applyBorder="1" applyAlignment="1">
      <alignment horizontal="center" vertical="center"/>
    </xf>
    <xf numFmtId="164" fontId="13" fillId="6" borderId="21" xfId="1" applyNumberForma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3" fillId="4" borderId="10" xfId="0" quotePrefix="1" applyFont="1" applyFill="1" applyBorder="1" applyAlignment="1">
      <alignment horizontal="left" vertical="center"/>
    </xf>
    <xf numFmtId="0" fontId="22" fillId="4" borderId="11" xfId="0" applyFont="1" applyFill="1" applyBorder="1" applyAlignment="1">
      <alignment horizontal="center" vertical="center"/>
    </xf>
    <xf numFmtId="164" fontId="13" fillId="4" borderId="21" xfId="1" applyNumberForma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164" fontId="13" fillId="4" borderId="21" xfId="1" applyNumberFormat="1" applyFont="1" applyFill="1" applyBorder="1" applyAlignment="1">
      <alignment horizontal="center" vertical="center"/>
    </xf>
    <xf numFmtId="0" fontId="13" fillId="4" borderId="21" xfId="1" applyFont="1" applyFill="1" applyBorder="1" applyAlignment="1">
      <alignment horizontal="center" vertical="center"/>
    </xf>
    <xf numFmtId="0" fontId="0" fillId="4" borderId="10" xfId="0" quotePrefix="1" applyFill="1" applyBorder="1" applyAlignment="1">
      <alignment horizontal="left" vertical="center"/>
    </xf>
    <xf numFmtId="0" fontId="14" fillId="4" borderId="16" xfId="1" quotePrefix="1" applyFont="1" applyFill="1" applyBorder="1" applyAlignment="1">
      <alignment horizontal="center" vertical="center"/>
    </xf>
    <xf numFmtId="0" fontId="0" fillId="4" borderId="18" xfId="0" quotePrefix="1" applyFont="1" applyFill="1" applyBorder="1" applyAlignment="1">
      <alignment horizontal="left" vertical="center"/>
    </xf>
    <xf numFmtId="0" fontId="0" fillId="4" borderId="15" xfId="0" applyFont="1" applyFill="1" applyBorder="1" applyAlignment="1">
      <alignment horizontal="center" vertical="center"/>
    </xf>
    <xf numFmtId="0" fontId="14" fillId="4" borderId="23" xfId="1" quotePrefix="1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0" fontId="0" fillId="4" borderId="19" xfId="0" quotePrefix="1" applyFont="1" applyFill="1" applyBorder="1" applyAlignment="1">
      <alignment horizontal="left" vertical="center"/>
    </xf>
    <xf numFmtId="0" fontId="0" fillId="4" borderId="24" xfId="0" applyFont="1" applyFill="1" applyBorder="1" applyAlignment="1">
      <alignment horizontal="center" vertical="center"/>
    </xf>
    <xf numFmtId="0" fontId="14" fillId="4" borderId="25" xfId="1" quotePrefix="1" applyFont="1" applyFill="1" applyBorder="1" applyAlignment="1">
      <alignment horizontal="center" vertical="center"/>
    </xf>
    <xf numFmtId="0" fontId="0" fillId="4" borderId="17" xfId="0" applyFont="1" applyFill="1" applyBorder="1" applyAlignment="1">
      <alignment horizontal="center" vertical="center"/>
    </xf>
    <xf numFmtId="0" fontId="3" fillId="4" borderId="26" xfId="0" quotePrefix="1" applyFont="1" applyFill="1" applyBorder="1" applyAlignment="1">
      <alignment horizontal="left" vertical="center" wrapText="1"/>
    </xf>
    <xf numFmtId="0" fontId="3" fillId="4" borderId="17" xfId="0" quotePrefix="1" applyFont="1" applyFill="1" applyBorder="1" applyAlignment="1">
      <alignment horizontal="center" vertical="center"/>
    </xf>
    <xf numFmtId="0" fontId="20" fillId="4" borderId="17" xfId="0" quotePrefix="1" applyFont="1" applyFill="1" applyBorder="1" applyAlignment="1">
      <alignment horizontal="center" vertical="center"/>
    </xf>
    <xf numFmtId="0" fontId="25" fillId="4" borderId="11" xfId="0" quotePrefix="1" applyFont="1" applyFill="1" applyBorder="1" applyAlignment="1">
      <alignment horizontal="center" vertical="center"/>
    </xf>
    <xf numFmtId="0" fontId="25" fillId="4" borderId="24" xfId="0" quotePrefix="1" applyFont="1" applyFill="1" applyBorder="1" applyAlignment="1">
      <alignment horizontal="center" vertical="center"/>
    </xf>
    <xf numFmtId="0" fontId="25" fillId="4" borderId="17" xfId="0" quotePrefix="1" applyFont="1" applyFill="1" applyBorder="1" applyAlignment="1">
      <alignment horizontal="center" vertical="center"/>
    </xf>
    <xf numFmtId="0" fontId="25" fillId="4" borderId="11" xfId="0" applyFont="1" applyFill="1" applyBorder="1" applyAlignment="1">
      <alignment horizontal="center" vertical="center" wrapText="1"/>
    </xf>
    <xf numFmtId="0" fontId="0" fillId="4" borderId="10" xfId="0" quotePrefix="1" applyFill="1" applyBorder="1"/>
    <xf numFmtId="0" fontId="3" fillId="4" borderId="10" xfId="0" applyFont="1" applyFill="1" applyBorder="1" applyAlignment="1"/>
    <xf numFmtId="0" fontId="0" fillId="4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/>
    </xf>
    <xf numFmtId="0" fontId="2" fillId="4" borderId="11" xfId="0" quotePrefix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0" fillId="4" borderId="18" xfId="0" applyFill="1" applyBorder="1"/>
    <xf numFmtId="0" fontId="0" fillId="4" borderId="15" xfId="0" quotePrefix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/>
    </xf>
    <xf numFmtId="0" fontId="2" fillId="4" borderId="15" xfId="0" quotePrefix="1" applyFont="1" applyFill="1" applyBorder="1" applyAlignment="1">
      <alignment horizontal="center" vertical="center"/>
    </xf>
    <xf numFmtId="0" fontId="25" fillId="6" borderId="8" xfId="0" applyFont="1" applyFill="1" applyBorder="1" applyAlignment="1">
      <alignment horizontal="center" vertical="center" wrapText="1"/>
    </xf>
    <xf numFmtId="0" fontId="24" fillId="6" borderId="23" xfId="0" quotePrefix="1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24" fillId="6" borderId="11" xfId="0" quotePrefix="1" applyFont="1" applyFill="1" applyBorder="1" applyAlignment="1">
      <alignment horizontal="center" vertical="center"/>
    </xf>
    <xf numFmtId="0" fontId="2" fillId="6" borderId="10" xfId="0" quotePrefix="1" applyFont="1" applyFill="1" applyBorder="1" applyAlignment="1">
      <alignment horizontal="left" vertical="center"/>
    </xf>
    <xf numFmtId="0" fontId="25" fillId="6" borderId="11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0" fillId="4" borderId="7" xfId="0" quotePrefix="1" applyFont="1" applyFill="1" applyBorder="1" applyAlignment="1">
      <alignment horizontal="left" vertical="center"/>
    </xf>
    <xf numFmtId="0" fontId="0" fillId="4" borderId="8" xfId="0" applyFont="1" applyFill="1" applyBorder="1" applyAlignment="1">
      <alignment horizontal="center" vertical="center"/>
    </xf>
    <xf numFmtId="0" fontId="14" fillId="4" borderId="20" xfId="1" quotePrefix="1" applyFont="1" applyFill="1" applyBorder="1" applyAlignment="1">
      <alignment horizontal="center" vertical="center"/>
    </xf>
    <xf numFmtId="0" fontId="24" fillId="4" borderId="21" xfId="0" quotePrefix="1" applyFont="1" applyFill="1" applyBorder="1" applyAlignment="1">
      <alignment horizontal="center" vertical="center"/>
    </xf>
    <xf numFmtId="0" fontId="1" fillId="4" borderId="8" xfId="0" quotePrefix="1" applyFont="1" applyFill="1" applyBorder="1" applyAlignment="1">
      <alignment horizontal="center" vertical="center"/>
    </xf>
    <xf numFmtId="0" fontId="1" fillId="6" borderId="10" xfId="0" applyFont="1" applyFill="1" applyBorder="1" applyAlignment="1"/>
    <xf numFmtId="0" fontId="2" fillId="6" borderId="11" xfId="0" applyFont="1" applyFill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3" fillId="6" borderId="21" xfId="1" quotePrefix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Multilayer-Ceramic-Capacitors-MLCC-SMD-SMT_Samsung-Electro-Mechanics-CL10B223KB8NNNC_C21122.html" TargetMode="External"/><Relationship Id="rId18" Type="http://schemas.openxmlformats.org/officeDocument/2006/relationships/hyperlink" Target="https://tr.aliexpress.com/item/32814431059.html" TargetMode="External"/><Relationship Id="rId26" Type="http://schemas.openxmlformats.org/officeDocument/2006/relationships/hyperlink" Target="https://lcsc.com/product-detail/Motor-Driver-ICs_TRINAMIC-Motion-Control-GmbH-TMC2130-LA-T_C915795.html" TargetMode="External"/><Relationship Id="rId21" Type="http://schemas.openxmlformats.org/officeDocument/2006/relationships/hyperlink" Target="https://lcsc.com/product-detail/Pin-Headers_BOOMELE-Boom-Precision-Elec-C37208_C37208.html" TargetMode="External"/><Relationship Id="rId34" Type="http://schemas.openxmlformats.org/officeDocument/2006/relationships/hyperlink" Target="https://lcsc.com/product-detail/TVS_RUILON-Shenzhen-Ruilongyuan-Elec-SMBJ43A_C10222.html" TargetMode="External"/><Relationship Id="rId7" Type="http://schemas.openxmlformats.org/officeDocument/2006/relationships/hyperlink" Target="https://www.lcsc.com/product-detail/Chip-Resistor-Surface-Mount_YAGEO-RC0603JR-07330RL_C105879.html" TargetMode="External"/><Relationship Id="rId12" Type="http://schemas.openxmlformats.org/officeDocument/2006/relationships/hyperlink" Target="https://www.lcsc.com/product-detail/Pin-Headers_TE-Connectivity-826629-2_C86471.html" TargetMode="External"/><Relationship Id="rId17" Type="http://schemas.openxmlformats.org/officeDocument/2006/relationships/hyperlink" Target="https://lcsc.com/product-detail/Multilayer-Ceramic-Capacitors-MLCC-SMD-SMT_PSA-Prosperity-Dielectrics-FN18N100J500PSG_C525235.html" TargetMode="External"/><Relationship Id="rId25" Type="http://schemas.openxmlformats.org/officeDocument/2006/relationships/hyperlink" Target="https://www.digikey.com/en/products/detail/yageo/CC0805MKX5R8BB226/5195309?s=N4IgTCBcDaIMJwAwA5EFYCyBpAGmgSsgEJFhgBsIAugL5A" TargetMode="External"/><Relationship Id="rId33" Type="http://schemas.openxmlformats.org/officeDocument/2006/relationships/hyperlink" Target="https://lcsc.com/product-detail/Bipolar-Transistors-BJT_Changjiang-Electronics-Tech-CJ-BCX56_C24212.html" TargetMode="External"/><Relationship Id="rId2" Type="http://schemas.openxmlformats.org/officeDocument/2006/relationships/hyperlink" Target="https://www.lcsc.com/product-detail/Aluminum-Electrolytic-Capacitors-SMD_Ymin-VKMD1001J101MV_C487384.html" TargetMode="External"/><Relationship Id="rId16" Type="http://schemas.openxmlformats.org/officeDocument/2006/relationships/hyperlink" Target="https://lcsc.com/product-detail/old-batch_Murata-Electronics-GCM21BC72A105KE36L_C2842838.html" TargetMode="External"/><Relationship Id="rId20" Type="http://schemas.openxmlformats.org/officeDocument/2006/relationships/hyperlink" Target="https://lcsc.com/product-detail/MOSFETs_Infineon-Technologies-IRLML2502TRPBF_C2589.html" TargetMode="External"/><Relationship Id="rId29" Type="http://schemas.openxmlformats.org/officeDocument/2006/relationships/hyperlink" Target="https://lcsc.com/product-detail/Chip-Resistor-Surface-Mount_YAGEO-RC0603FR-072R2L_C112307.html" TargetMode="External"/><Relationship Id="rId1" Type="http://schemas.openxmlformats.org/officeDocument/2006/relationships/hyperlink" Target="https://www.lcsc.com/product-detail/Aluminum-Electrolytic-Capacitors-SMD_Ymin-VKMB1001E101MV_C487322.html" TargetMode="External"/><Relationship Id="rId6" Type="http://schemas.openxmlformats.org/officeDocument/2006/relationships/hyperlink" Target="https://www.lcsc.com/product-detail/Chip-Resistor-Surface-Mount_YAGEO-AC0603JR-0710KL_C140867.html" TargetMode="External"/><Relationship Id="rId11" Type="http://schemas.openxmlformats.org/officeDocument/2006/relationships/hyperlink" Target="https://www.lcsc.com/product-detail/DC-DC-Converters_XLSEMI-XL4001E1_C73347.html" TargetMode="External"/><Relationship Id="rId24" Type="http://schemas.openxmlformats.org/officeDocument/2006/relationships/hyperlink" Target="https://lcsc.com/product-detail/Multilayer-Ceramic-Capacitors-MLCC-SMD-SMT_muRata_GRM188R61E106MA73D_10uF-106-20-25V_C91606.html'" TargetMode="External"/><Relationship Id="rId32" Type="http://schemas.openxmlformats.org/officeDocument/2006/relationships/hyperlink" Target="https://lcsc.com/product-detail/Zener-Diodes_Yangzhou-Yangjie-Elec-Tech-MMSZ5V6CW_C700475.html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Schottky-Barrier-Diodes-SBD_Tak-Cheong-MSK4010_C968723.html" TargetMode="External"/><Relationship Id="rId15" Type="http://schemas.openxmlformats.org/officeDocument/2006/relationships/hyperlink" Target="https://lcsc.com/product-detail/Multilayer-Ceramic-Capacitors-MLCC-SMD-SMT_YAGEO-CC0603KRX7R0BB104_C113803.html" TargetMode="External"/><Relationship Id="rId23" Type="http://schemas.openxmlformats.org/officeDocument/2006/relationships/hyperlink" Target="https://www.digikey.com/en/products/detail/te-connectivity-passive-product/CRGH0603J100K/2385403" TargetMode="External"/><Relationship Id="rId28" Type="http://schemas.openxmlformats.org/officeDocument/2006/relationships/hyperlink" Target="https://lcsc.com/product-detail/Chip-Resistor-Surface-Mount_YAGEO-RC0603JR-07100RL_C110091.html" TargetMode="External"/><Relationship Id="rId36" Type="http://schemas.openxmlformats.org/officeDocument/2006/relationships/hyperlink" Target="https://lcsc.com/product-detail/Chip-span-style-background-color-ff0-Resistor-span-Surface-Mount_UNI-ROYAL-Uniroyal-Elec-1206W4F150LT5E_C37936.html" TargetMode="External"/><Relationship Id="rId10" Type="http://schemas.openxmlformats.org/officeDocument/2006/relationships/hyperlink" Target="https://www.lcsc.com/product-detail/Chip-Resistor-Surface-Mount_YAGEO-RC0603FR-0749K9L_C114624.html" TargetMode="External"/><Relationship Id="rId19" Type="http://schemas.openxmlformats.org/officeDocument/2006/relationships/hyperlink" Target="https://tr.aliexpress.com/item/32727363517.html?spm=a2g0o.productlist.0.0.713a752dLtqKvq&amp;algo_pvid=75a9fd63-31f4-4f03-9ae6-e55dd07e6d7f&amp;algo_exp_id=75a9fd63-31f4-4f03-9ae6-e55dd07e6d7f-2&amp;pdp_ext_f=%7B%22sku_id%22%3A%2261240561970%22%7D" TargetMode="External"/><Relationship Id="rId31" Type="http://schemas.openxmlformats.org/officeDocument/2006/relationships/hyperlink" Target="mailto:1&#956;A@2V%2040&#937;%20Single%205.2V~6V%20500mW%205.6V%20SOD123G%20Zener%20Diodes%20ROHS" TargetMode="External"/><Relationship Id="rId4" Type="http://schemas.openxmlformats.org/officeDocument/2006/relationships/hyperlink" Target="https://www.lcsc.com/product-detail/Schottky-Barrier-Diodes-SBD_Nexperia-PMEG3030EP-115_C255587.html" TargetMode="External"/><Relationship Id="rId9" Type="http://schemas.openxmlformats.org/officeDocument/2006/relationships/hyperlink" Target="https://www.lcsc.com/product-detail/Chip-Resistor-Surface-Mount_UNI-ROYAL-Uniroyal-Elec-0805W8F9001T5E_C247026.html" TargetMode="External"/><Relationship Id="rId14" Type="http://schemas.openxmlformats.org/officeDocument/2006/relationships/hyperlink" Target="https://www.lcsc.com/product-detail/Chip-span-style-background-color-ff0-Resistor-span-Surface-Mount_YAGEO-RL2512FK-070R075L_C705611.html" TargetMode="External"/><Relationship Id="rId22" Type="http://schemas.openxmlformats.org/officeDocument/2006/relationships/hyperlink" Target="https://lcsc.com/product-detail/Others_Prosperity-Dielectrics-MCS20FC-2R2MMP_C375949.html" TargetMode="External"/><Relationship Id="rId27" Type="http://schemas.openxmlformats.org/officeDocument/2006/relationships/hyperlink" Target="https://lcsc.com/product-detail/Chip-span-style-background-color-ff0-Resistor-span-Surface-Mount_YAGEO-RT0603BRE0722KL_C705830.html" TargetMode="External"/><Relationship Id="rId30" Type="http://schemas.openxmlformats.org/officeDocument/2006/relationships/hyperlink" Target="https://lcsc.com/product-detail/Multilayer-Ceramic-Capacitors-MLCC-SMD-SMT_Samsung-Electro-Mechanics-CL10A475KA8NQNC_C69335.html" TargetMode="External"/><Relationship Id="rId35" Type="http://schemas.openxmlformats.org/officeDocument/2006/relationships/hyperlink" Target="https://lcsc.com/product-detail/Multilayer-Ceramic-Capacitors-MLCC-SMD-SMT_TDK-C2012X7S2A474KT000N_C342818.html" TargetMode="External"/><Relationship Id="rId8" Type="http://schemas.openxmlformats.org/officeDocument/2006/relationships/hyperlink" Target="https://www.lcsc.com/product-detail/Chip-Resistor-Surface-Mount_YAGEO-RC0603FR-071KL_C22548.html" TargetMode="External"/><Relationship Id="rId3" Type="http://schemas.openxmlformats.org/officeDocument/2006/relationships/hyperlink" Target="https://www.lcsc.com/product-detail/Multilayer-Ceramic-Capacitors-MLCC-SMD-SMT_YAGEO-CC1206KKX7RDBB102_C2363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9"/>
  <sheetViews>
    <sheetView tabSelected="1" topLeftCell="D1" zoomScale="85" zoomScaleNormal="85" workbookViewId="0">
      <selection activeCell="Q6" sqref="Q6"/>
    </sheetView>
  </sheetViews>
  <sheetFormatPr defaultColWidth="9" defaultRowHeight="15"/>
  <cols>
    <col min="1" max="1" width="6.140625" style="2" customWidth="1"/>
    <col min="2" max="2" width="14.42578125" customWidth="1"/>
    <col min="3" max="3" width="103.7109375" bestFit="1" customWidth="1"/>
    <col min="4" max="4" width="34.7109375" customWidth="1"/>
    <col min="5" max="5" width="21" customWidth="1"/>
    <col min="6" max="6" width="29" customWidth="1"/>
    <col min="7" max="7" width="26.28515625" customWidth="1"/>
    <col min="8" max="8" width="15.28515625" style="2" customWidth="1"/>
    <col min="9" max="9" width="21.5703125" customWidth="1"/>
    <col min="10" max="10" width="7" customWidth="1"/>
    <col min="11" max="11" width="21.85546875" customWidth="1"/>
    <col min="12" max="12" width="14.140625" customWidth="1"/>
    <col min="13" max="13" width="16.28515625" customWidth="1"/>
    <col min="14" max="14" width="37.42578125" bestFit="1" customWidth="1"/>
  </cols>
  <sheetData>
    <row r="1" spans="1:29" ht="16.5" thickBot="1">
      <c r="A1" s="138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40"/>
    </row>
    <row r="2" spans="1:29" s="1" customFormat="1" ht="16.5" thickBot="1">
      <c r="A2" s="3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0" t="s">
        <v>180</v>
      </c>
      <c r="M2" s="55" t="s">
        <v>179</v>
      </c>
      <c r="N2" s="131" t="s">
        <v>239</v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29" ht="15.75" thickBot="1">
      <c r="A3" s="6">
        <v>1</v>
      </c>
      <c r="B3" s="135" t="s">
        <v>12</v>
      </c>
      <c r="C3" s="83" t="s">
        <v>13</v>
      </c>
      <c r="D3" s="129" t="s">
        <v>238</v>
      </c>
      <c r="E3" s="84" t="s">
        <v>14</v>
      </c>
      <c r="F3" s="84" t="s">
        <v>15</v>
      </c>
      <c r="G3" s="84" t="s">
        <v>16</v>
      </c>
      <c r="H3" s="85" t="s">
        <v>17</v>
      </c>
      <c r="I3" s="86" t="s">
        <v>18</v>
      </c>
      <c r="J3" s="84" t="s">
        <v>19</v>
      </c>
      <c r="K3" s="87">
        <v>6</v>
      </c>
      <c r="L3" s="87">
        <f>K3*6</f>
        <v>36</v>
      </c>
      <c r="M3" s="88" t="s">
        <v>20</v>
      </c>
      <c r="N3" s="130" t="s">
        <v>240</v>
      </c>
    </row>
    <row r="4" spans="1:29" ht="15.75" thickBot="1">
      <c r="A4" s="6">
        <v>2</v>
      </c>
      <c r="B4" s="136"/>
      <c r="C4" s="93" t="s">
        <v>205</v>
      </c>
      <c r="D4" s="115" t="s">
        <v>206</v>
      </c>
      <c r="E4" s="27" t="s">
        <v>14</v>
      </c>
      <c r="F4" s="53" t="s">
        <v>204</v>
      </c>
      <c r="G4" s="53" t="s">
        <v>207</v>
      </c>
      <c r="H4" s="94" t="s">
        <v>208</v>
      </c>
      <c r="I4" s="28" t="s">
        <v>18</v>
      </c>
      <c r="J4" s="53" t="s">
        <v>209</v>
      </c>
      <c r="K4" s="7">
        <v>1</v>
      </c>
      <c r="L4" s="7">
        <f t="shared" ref="L4:L5" si="0">K4*6</f>
        <v>6</v>
      </c>
      <c r="M4" s="95" t="s">
        <v>20</v>
      </c>
      <c r="N4" s="95"/>
    </row>
    <row r="5" spans="1:29" ht="15.75" thickBot="1">
      <c r="A5" s="6">
        <v>3</v>
      </c>
      <c r="B5" s="136"/>
      <c r="C5" s="133" t="s">
        <v>241</v>
      </c>
      <c r="D5" s="134" t="s">
        <v>212</v>
      </c>
      <c r="E5" s="80" t="s">
        <v>23</v>
      </c>
      <c r="F5" s="81" t="s">
        <v>210</v>
      </c>
      <c r="G5" s="90" t="s">
        <v>37</v>
      </c>
      <c r="H5" s="89" t="s">
        <v>242</v>
      </c>
      <c r="I5" s="90" t="s">
        <v>18</v>
      </c>
      <c r="J5" s="81" t="s">
        <v>211</v>
      </c>
      <c r="K5" s="82">
        <v>2</v>
      </c>
      <c r="L5" s="82">
        <f t="shared" si="0"/>
        <v>12</v>
      </c>
      <c r="M5" s="91" t="s">
        <v>20</v>
      </c>
      <c r="N5" s="132" t="s">
        <v>243</v>
      </c>
    </row>
    <row r="6" spans="1:29" ht="15.75" thickBot="1">
      <c r="A6" s="6">
        <v>4</v>
      </c>
      <c r="B6" s="136"/>
      <c r="C6" s="34" t="s">
        <v>21</v>
      </c>
      <c r="D6" s="27" t="s">
        <v>22</v>
      </c>
      <c r="E6" s="27" t="s">
        <v>23</v>
      </c>
      <c r="F6" s="27" t="s">
        <v>24</v>
      </c>
      <c r="G6" s="27" t="s">
        <v>25</v>
      </c>
      <c r="H6" s="96" t="s">
        <v>26</v>
      </c>
      <c r="I6" s="28" t="s">
        <v>18</v>
      </c>
      <c r="J6" s="27" t="s">
        <v>27</v>
      </c>
      <c r="K6" s="7">
        <v>1</v>
      </c>
      <c r="L6" s="7">
        <f t="shared" ref="L6:L42" si="1">K6*6</f>
        <v>6</v>
      </c>
      <c r="M6" s="97" t="s">
        <v>20</v>
      </c>
      <c r="N6" s="97"/>
    </row>
    <row r="7" spans="1:29" ht="15.75" thickBot="1">
      <c r="A7" s="6">
        <v>5</v>
      </c>
      <c r="B7" s="136"/>
      <c r="C7" s="34" t="s">
        <v>28</v>
      </c>
      <c r="D7" s="27" t="s">
        <v>29</v>
      </c>
      <c r="E7" s="27" t="s">
        <v>14</v>
      </c>
      <c r="F7" s="29" t="s">
        <v>30</v>
      </c>
      <c r="G7" s="27" t="s">
        <v>31</v>
      </c>
      <c r="H7" s="96" t="s">
        <v>32</v>
      </c>
      <c r="I7" s="96" t="s">
        <v>33</v>
      </c>
      <c r="J7" s="27" t="s">
        <v>34</v>
      </c>
      <c r="K7" s="7">
        <v>8</v>
      </c>
      <c r="L7" s="7">
        <f t="shared" si="1"/>
        <v>48</v>
      </c>
      <c r="M7" s="98" t="s">
        <v>20</v>
      </c>
      <c r="N7" s="98"/>
    </row>
    <row r="8" spans="1:29" ht="15.75" thickBot="1">
      <c r="A8" s="6">
        <v>6</v>
      </c>
      <c r="B8" s="136"/>
      <c r="C8" s="34" t="s">
        <v>35</v>
      </c>
      <c r="D8" s="112" t="s">
        <v>237</v>
      </c>
      <c r="E8" s="27" t="s">
        <v>14</v>
      </c>
      <c r="F8" s="29" t="s">
        <v>36</v>
      </c>
      <c r="G8" s="28" t="s">
        <v>37</v>
      </c>
      <c r="H8" s="9" t="s">
        <v>38</v>
      </c>
      <c r="I8" s="27" t="s">
        <v>39</v>
      </c>
      <c r="J8" s="27" t="s">
        <v>40</v>
      </c>
      <c r="K8" s="9">
        <v>3</v>
      </c>
      <c r="L8" s="7">
        <f t="shared" si="1"/>
        <v>18</v>
      </c>
      <c r="M8" s="57" t="s">
        <v>20</v>
      </c>
      <c r="N8" s="57"/>
    </row>
    <row r="9" spans="1:29" ht="15.75" thickBot="1">
      <c r="A9" s="6">
        <v>7</v>
      </c>
      <c r="B9" s="136"/>
      <c r="C9" s="34" t="s">
        <v>41</v>
      </c>
      <c r="D9" s="27" t="s">
        <v>42</v>
      </c>
      <c r="E9" s="27" t="s">
        <v>43</v>
      </c>
      <c r="F9" s="27" t="s">
        <v>44</v>
      </c>
      <c r="G9" s="28" t="s">
        <v>45</v>
      </c>
      <c r="H9" s="9" t="s">
        <v>46</v>
      </c>
      <c r="I9" s="28" t="s">
        <v>18</v>
      </c>
      <c r="J9" s="27" t="s">
        <v>47</v>
      </c>
      <c r="K9" s="9">
        <v>1</v>
      </c>
      <c r="L9" s="7">
        <f t="shared" si="1"/>
        <v>6</v>
      </c>
      <c r="M9" s="57" t="s">
        <v>20</v>
      </c>
      <c r="N9" s="57"/>
    </row>
    <row r="10" spans="1:29" ht="15.75" thickBot="1">
      <c r="A10" s="6">
        <v>8</v>
      </c>
      <c r="B10" s="136"/>
      <c r="C10" s="34" t="s">
        <v>48</v>
      </c>
      <c r="D10" s="112" t="s">
        <v>236</v>
      </c>
      <c r="E10" s="27" t="s">
        <v>43</v>
      </c>
      <c r="F10" s="27" t="s">
        <v>49</v>
      </c>
      <c r="G10" s="28" t="s">
        <v>45</v>
      </c>
      <c r="H10" s="9" t="s">
        <v>50</v>
      </c>
      <c r="I10" s="28" t="s">
        <v>18</v>
      </c>
      <c r="J10" s="27" t="s">
        <v>47</v>
      </c>
      <c r="K10" s="9">
        <v>3</v>
      </c>
      <c r="L10" s="7">
        <f t="shared" si="1"/>
        <v>18</v>
      </c>
      <c r="M10" s="57" t="s">
        <v>20</v>
      </c>
      <c r="N10" s="57"/>
    </row>
    <row r="11" spans="1:29" ht="15.75" thickBot="1">
      <c r="A11" s="6">
        <v>9</v>
      </c>
      <c r="B11" s="136"/>
      <c r="C11" s="99" t="s">
        <v>161</v>
      </c>
      <c r="D11" s="51" t="s">
        <v>51</v>
      </c>
      <c r="E11" s="51" t="s">
        <v>14</v>
      </c>
      <c r="F11" s="51" t="s">
        <v>162</v>
      </c>
      <c r="G11" s="28" t="s">
        <v>25</v>
      </c>
      <c r="H11" s="54" t="s">
        <v>233</v>
      </c>
      <c r="I11" s="28" t="s">
        <v>18</v>
      </c>
      <c r="J11" s="27" t="s">
        <v>52</v>
      </c>
      <c r="K11" s="9">
        <v>1</v>
      </c>
      <c r="L11" s="7">
        <f t="shared" si="1"/>
        <v>6</v>
      </c>
      <c r="M11" s="56" t="s">
        <v>20</v>
      </c>
      <c r="N11" s="56"/>
    </row>
    <row r="12" spans="1:29" ht="15.75" thickBot="1">
      <c r="A12" s="6">
        <v>10</v>
      </c>
      <c r="B12" s="136"/>
      <c r="C12" s="34" t="s">
        <v>163</v>
      </c>
      <c r="D12" s="27" t="s">
        <v>53</v>
      </c>
      <c r="E12" s="27" t="s">
        <v>23</v>
      </c>
      <c r="F12" s="27" t="s">
        <v>164</v>
      </c>
      <c r="G12" s="28" t="s">
        <v>16</v>
      </c>
      <c r="H12" s="54" t="s">
        <v>234</v>
      </c>
      <c r="I12" s="28" t="s">
        <v>18</v>
      </c>
      <c r="J12" s="27" t="s">
        <v>54</v>
      </c>
      <c r="K12" s="9">
        <v>1</v>
      </c>
      <c r="L12" s="7">
        <f t="shared" si="1"/>
        <v>6</v>
      </c>
      <c r="M12" s="56" t="s">
        <v>20</v>
      </c>
      <c r="N12" s="56"/>
    </row>
    <row r="13" spans="1:29" ht="15.75" thickBot="1">
      <c r="A13" s="6">
        <v>11</v>
      </c>
      <c r="B13" s="137"/>
      <c r="C13" s="35" t="s">
        <v>55</v>
      </c>
      <c r="D13" s="30" t="s">
        <v>56</v>
      </c>
      <c r="E13" s="30" t="s">
        <v>57</v>
      </c>
      <c r="F13" s="30" t="s">
        <v>58</v>
      </c>
      <c r="G13" s="31" t="s">
        <v>59</v>
      </c>
      <c r="H13" s="12" t="s">
        <v>60</v>
      </c>
      <c r="I13" s="31" t="s">
        <v>18</v>
      </c>
      <c r="J13" s="30" t="s">
        <v>61</v>
      </c>
      <c r="K13" s="12">
        <v>1</v>
      </c>
      <c r="L13" s="10">
        <f t="shared" si="1"/>
        <v>6</v>
      </c>
      <c r="M13" s="100" t="s">
        <v>20</v>
      </c>
      <c r="N13" s="100"/>
    </row>
    <row r="14" spans="1:29" ht="15.75" thickBot="1">
      <c r="A14" s="6">
        <v>12</v>
      </c>
      <c r="B14" s="136" t="s">
        <v>62</v>
      </c>
      <c r="C14" s="101" t="s">
        <v>63</v>
      </c>
      <c r="D14" s="32" t="s">
        <v>64</v>
      </c>
      <c r="E14" s="32" t="s">
        <v>65</v>
      </c>
      <c r="F14" s="32" t="s">
        <v>66</v>
      </c>
      <c r="G14" s="32" t="s">
        <v>67</v>
      </c>
      <c r="H14" s="15" t="s">
        <v>68</v>
      </c>
      <c r="I14" s="33" t="s">
        <v>18</v>
      </c>
      <c r="J14" s="33" t="s">
        <v>69</v>
      </c>
      <c r="K14" s="15">
        <v>1</v>
      </c>
      <c r="L14" s="102">
        <f t="shared" si="1"/>
        <v>6</v>
      </c>
      <c r="M14" s="103" t="s">
        <v>20</v>
      </c>
      <c r="N14" s="103"/>
    </row>
    <row r="15" spans="1:29" ht="15.75" thickBot="1">
      <c r="A15" s="6">
        <v>13</v>
      </c>
      <c r="B15" s="136"/>
      <c r="C15" s="34" t="s">
        <v>216</v>
      </c>
      <c r="D15" s="112" t="s">
        <v>215</v>
      </c>
      <c r="E15" s="53" t="s">
        <v>214</v>
      </c>
      <c r="F15" s="53" t="s">
        <v>213</v>
      </c>
      <c r="G15" s="53" t="s">
        <v>217</v>
      </c>
      <c r="H15" s="104" t="s">
        <v>218</v>
      </c>
      <c r="I15" s="54" t="s">
        <v>18</v>
      </c>
      <c r="J15" s="54" t="s">
        <v>69</v>
      </c>
      <c r="K15" s="9">
        <v>1</v>
      </c>
      <c r="L15" s="7">
        <f t="shared" si="1"/>
        <v>6</v>
      </c>
      <c r="M15" s="56" t="s">
        <v>20</v>
      </c>
      <c r="N15" s="56"/>
    </row>
    <row r="16" spans="1:29" ht="15.75" thickBot="1">
      <c r="A16" s="6">
        <v>14</v>
      </c>
      <c r="B16" s="136"/>
      <c r="C16" s="93" t="s">
        <v>230</v>
      </c>
      <c r="D16" s="112" t="s">
        <v>229</v>
      </c>
      <c r="E16" s="53" t="s">
        <v>228</v>
      </c>
      <c r="F16" s="53" t="s">
        <v>227</v>
      </c>
      <c r="G16" s="53" t="s">
        <v>231</v>
      </c>
      <c r="H16" s="104" t="s">
        <v>232</v>
      </c>
      <c r="I16" s="54" t="s">
        <v>18</v>
      </c>
      <c r="J16" s="54" t="s">
        <v>69</v>
      </c>
      <c r="K16" s="9">
        <v>1</v>
      </c>
      <c r="L16" s="7">
        <f t="shared" si="1"/>
        <v>6</v>
      </c>
      <c r="M16" s="56" t="s">
        <v>20</v>
      </c>
      <c r="N16" s="56"/>
    </row>
    <row r="17" spans="1:14" ht="15.75" thickBot="1">
      <c r="A17" s="6">
        <v>15</v>
      </c>
      <c r="B17" s="136"/>
      <c r="C17" s="105" t="s">
        <v>70</v>
      </c>
      <c r="D17" s="113" t="s">
        <v>71</v>
      </c>
      <c r="E17" s="67" t="s">
        <v>72</v>
      </c>
      <c r="F17" s="67" t="s">
        <v>73</v>
      </c>
      <c r="G17" s="67" t="s">
        <v>74</v>
      </c>
      <c r="H17" s="68" t="s">
        <v>75</v>
      </c>
      <c r="I17" s="68" t="s">
        <v>18</v>
      </c>
      <c r="J17" s="68" t="s">
        <v>69</v>
      </c>
      <c r="K17" s="63">
        <v>1</v>
      </c>
      <c r="L17" s="106">
        <f t="shared" si="1"/>
        <v>6</v>
      </c>
      <c r="M17" s="107" t="s">
        <v>20</v>
      </c>
      <c r="N17" s="107"/>
    </row>
    <row r="18" spans="1:14" ht="16.5" thickBot="1">
      <c r="A18" s="6">
        <v>16</v>
      </c>
      <c r="B18" s="92" t="s">
        <v>76</v>
      </c>
      <c r="C18" s="71" t="s">
        <v>77</v>
      </c>
      <c r="D18" s="114" t="s">
        <v>78</v>
      </c>
      <c r="E18" s="72" t="s">
        <v>79</v>
      </c>
      <c r="F18" s="72" t="s">
        <v>80</v>
      </c>
      <c r="G18" s="73" t="s">
        <v>81</v>
      </c>
      <c r="H18" s="73" t="s">
        <v>18</v>
      </c>
      <c r="I18" s="72" t="s">
        <v>18</v>
      </c>
      <c r="J18" s="73" t="s">
        <v>69</v>
      </c>
      <c r="K18" s="69">
        <v>1</v>
      </c>
      <c r="L18" s="108">
        <f t="shared" si="1"/>
        <v>6</v>
      </c>
      <c r="M18" s="70" t="s">
        <v>20</v>
      </c>
      <c r="N18" s="70"/>
    </row>
    <row r="19" spans="1:14" ht="30.75" thickBot="1">
      <c r="A19" s="6">
        <v>17</v>
      </c>
      <c r="B19" s="92" t="s">
        <v>219</v>
      </c>
      <c r="C19" s="109" t="s">
        <v>221</v>
      </c>
      <c r="D19" s="114" t="s">
        <v>220</v>
      </c>
      <c r="E19" s="110" t="s">
        <v>222</v>
      </c>
      <c r="F19" s="110" t="s">
        <v>223</v>
      </c>
      <c r="G19" s="111" t="s">
        <v>224</v>
      </c>
      <c r="H19" s="111" t="s">
        <v>225</v>
      </c>
      <c r="I19" s="110" t="s">
        <v>226</v>
      </c>
      <c r="J19" s="111" t="s">
        <v>69</v>
      </c>
      <c r="K19" s="69">
        <v>1</v>
      </c>
      <c r="L19" s="108">
        <f t="shared" si="1"/>
        <v>6</v>
      </c>
      <c r="M19" s="70" t="s">
        <v>20</v>
      </c>
      <c r="N19" s="70"/>
    </row>
    <row r="20" spans="1:14" ht="15.75" thickBot="1">
      <c r="A20" s="6">
        <v>18</v>
      </c>
      <c r="B20" s="135" t="s">
        <v>82</v>
      </c>
      <c r="C20" s="65" t="s">
        <v>173</v>
      </c>
      <c r="D20" s="45" t="s">
        <v>174</v>
      </c>
      <c r="E20" s="45" t="s">
        <v>175</v>
      </c>
      <c r="F20" s="45" t="s">
        <v>175</v>
      </c>
      <c r="G20" s="26" t="s">
        <v>176</v>
      </c>
      <c r="H20" s="26" t="s">
        <v>177</v>
      </c>
      <c r="I20" s="25" t="s">
        <v>18</v>
      </c>
      <c r="J20" s="26" t="s">
        <v>69</v>
      </c>
      <c r="K20" s="14">
        <v>1</v>
      </c>
      <c r="L20" s="13">
        <f t="shared" si="1"/>
        <v>6</v>
      </c>
      <c r="M20" s="66" t="s">
        <v>20</v>
      </c>
      <c r="N20" s="66"/>
    </row>
    <row r="21" spans="1:14" ht="15.75" thickBot="1">
      <c r="A21" s="6">
        <v>19</v>
      </c>
      <c r="B21" s="137"/>
      <c r="C21" s="46" t="s">
        <v>83</v>
      </c>
      <c r="D21" s="47" t="s">
        <v>84</v>
      </c>
      <c r="E21" s="47" t="s">
        <v>43</v>
      </c>
      <c r="F21" s="47" t="s">
        <v>85</v>
      </c>
      <c r="G21" s="47" t="s">
        <v>86</v>
      </c>
      <c r="H21" s="48"/>
      <c r="I21" s="48"/>
      <c r="J21" s="47" t="s">
        <v>69</v>
      </c>
      <c r="K21" s="48">
        <v>1</v>
      </c>
      <c r="L21" s="11">
        <f t="shared" si="1"/>
        <v>6</v>
      </c>
      <c r="M21" s="49" t="s">
        <v>87</v>
      </c>
      <c r="N21" s="49"/>
    </row>
    <row r="22" spans="1:14" ht="15.75" thickBot="1">
      <c r="A22" s="6">
        <v>20</v>
      </c>
      <c r="B22" s="135" t="s">
        <v>88</v>
      </c>
      <c r="C22" s="141" t="s">
        <v>89</v>
      </c>
      <c r="D22" s="145" t="s">
        <v>244</v>
      </c>
      <c r="E22" s="25" t="s">
        <v>90</v>
      </c>
      <c r="F22" s="25" t="s">
        <v>91</v>
      </c>
      <c r="G22" s="26" t="s">
        <v>59</v>
      </c>
      <c r="H22" s="14" t="s">
        <v>92</v>
      </c>
      <c r="I22" s="25" t="s">
        <v>18</v>
      </c>
      <c r="J22" s="25" t="s">
        <v>93</v>
      </c>
      <c r="K22" s="142">
        <v>3</v>
      </c>
      <c r="L22" s="142">
        <f t="shared" si="1"/>
        <v>18</v>
      </c>
      <c r="M22" s="143" t="s">
        <v>20</v>
      </c>
      <c r="N22" s="144"/>
    </row>
    <row r="23" spans="1:14" ht="15.75" thickBot="1">
      <c r="A23" s="6">
        <v>21</v>
      </c>
      <c r="B23" s="136"/>
      <c r="C23" s="116" t="s">
        <v>165</v>
      </c>
      <c r="D23" s="122" t="s">
        <v>166</v>
      </c>
      <c r="E23" s="51" t="s">
        <v>90</v>
      </c>
      <c r="F23" s="51" t="s">
        <v>167</v>
      </c>
      <c r="G23" s="28" t="s">
        <v>155</v>
      </c>
      <c r="H23" s="54" t="s">
        <v>235</v>
      </c>
      <c r="I23" s="27" t="s">
        <v>18</v>
      </c>
      <c r="J23" s="53" t="s">
        <v>168</v>
      </c>
      <c r="K23" s="7">
        <v>1</v>
      </c>
      <c r="L23" s="7">
        <f t="shared" si="1"/>
        <v>6</v>
      </c>
      <c r="M23" s="56" t="s">
        <v>178</v>
      </c>
      <c r="N23" s="56"/>
    </row>
    <row r="24" spans="1:14" ht="15.75" thickBot="1">
      <c r="A24" s="6">
        <v>22</v>
      </c>
      <c r="B24" s="136"/>
      <c r="C24" s="117" t="s">
        <v>193</v>
      </c>
      <c r="D24" s="123" t="s">
        <v>186</v>
      </c>
      <c r="E24" s="51" t="s">
        <v>90</v>
      </c>
      <c r="F24" s="118" t="s">
        <v>187</v>
      </c>
      <c r="G24" s="118" t="s">
        <v>188</v>
      </c>
      <c r="H24" s="119" t="s">
        <v>189</v>
      </c>
      <c r="I24" s="27" t="s">
        <v>18</v>
      </c>
      <c r="J24" s="53" t="s">
        <v>199</v>
      </c>
      <c r="K24" s="7">
        <v>1</v>
      </c>
      <c r="L24" s="7">
        <f t="shared" si="1"/>
        <v>6</v>
      </c>
      <c r="M24" s="59" t="s">
        <v>20</v>
      </c>
      <c r="N24" s="59"/>
    </row>
    <row r="25" spans="1:14" ht="15.75" thickBot="1">
      <c r="A25" s="6">
        <v>23</v>
      </c>
      <c r="B25" s="136"/>
      <c r="C25" s="117" t="s">
        <v>194</v>
      </c>
      <c r="D25" s="123" t="s">
        <v>190</v>
      </c>
      <c r="E25" s="51" t="s">
        <v>90</v>
      </c>
      <c r="F25" s="118" t="s">
        <v>191</v>
      </c>
      <c r="G25" s="118" t="s">
        <v>188</v>
      </c>
      <c r="H25" s="119" t="s">
        <v>192</v>
      </c>
      <c r="I25" s="27" t="s">
        <v>18</v>
      </c>
      <c r="J25" s="53" t="s">
        <v>200</v>
      </c>
      <c r="K25" s="7">
        <v>1</v>
      </c>
      <c r="L25" s="7">
        <f t="shared" si="1"/>
        <v>6</v>
      </c>
      <c r="M25" s="56" t="s">
        <v>20</v>
      </c>
      <c r="N25" s="56"/>
    </row>
    <row r="26" spans="1:14" ht="15.75" thickBot="1">
      <c r="A26" s="6">
        <v>24</v>
      </c>
      <c r="B26" s="136"/>
      <c r="C26" s="117" t="s">
        <v>196</v>
      </c>
      <c r="D26" s="123" t="s">
        <v>197</v>
      </c>
      <c r="E26" s="53" t="s">
        <v>90</v>
      </c>
      <c r="F26" s="120" t="s">
        <v>195</v>
      </c>
      <c r="G26" s="118" t="s">
        <v>188</v>
      </c>
      <c r="H26" s="121" t="s">
        <v>198</v>
      </c>
      <c r="I26" s="27" t="s">
        <v>18</v>
      </c>
      <c r="J26" s="53" t="s">
        <v>201</v>
      </c>
      <c r="K26" s="7">
        <v>1</v>
      </c>
      <c r="L26" s="7">
        <f t="shared" si="1"/>
        <v>6</v>
      </c>
      <c r="M26" s="56" t="s">
        <v>20</v>
      </c>
      <c r="N26" s="56"/>
    </row>
    <row r="27" spans="1:14" ht="15.75" thickBot="1">
      <c r="A27" s="6">
        <v>25</v>
      </c>
      <c r="B27" s="136"/>
      <c r="C27" s="146" t="s">
        <v>248</v>
      </c>
      <c r="D27" s="147" t="s">
        <v>203</v>
      </c>
      <c r="E27" s="148" t="s">
        <v>247</v>
      </c>
      <c r="F27" s="149" t="s">
        <v>246</v>
      </c>
      <c r="G27" s="149" t="s">
        <v>114</v>
      </c>
      <c r="H27" s="150" t="s">
        <v>245</v>
      </c>
      <c r="I27" s="80" t="s">
        <v>18</v>
      </c>
      <c r="J27" s="81" t="s">
        <v>202</v>
      </c>
      <c r="K27" s="82">
        <v>2</v>
      </c>
      <c r="L27" s="82">
        <f t="shared" si="1"/>
        <v>12</v>
      </c>
      <c r="M27" s="151" t="s">
        <v>20</v>
      </c>
      <c r="N27" s="132" t="s">
        <v>249</v>
      </c>
    </row>
    <row r="28" spans="1:14" ht="15.75" thickBot="1">
      <c r="A28" s="6">
        <v>26</v>
      </c>
      <c r="B28" s="136"/>
      <c r="C28" s="34" t="s">
        <v>94</v>
      </c>
      <c r="D28" s="7" t="s">
        <v>95</v>
      </c>
      <c r="E28" s="27" t="s">
        <v>90</v>
      </c>
      <c r="F28" s="27" t="s">
        <v>96</v>
      </c>
      <c r="G28" s="28" t="s">
        <v>59</v>
      </c>
      <c r="H28" s="9" t="s">
        <v>97</v>
      </c>
      <c r="I28" s="27" t="s">
        <v>18</v>
      </c>
      <c r="J28" s="27" t="s">
        <v>98</v>
      </c>
      <c r="K28" s="7">
        <v>2</v>
      </c>
      <c r="L28" s="8">
        <f t="shared" si="1"/>
        <v>12</v>
      </c>
      <c r="M28" s="57" t="s">
        <v>20</v>
      </c>
      <c r="N28" s="57"/>
    </row>
    <row r="29" spans="1:14" ht="15.75" thickBot="1">
      <c r="A29" s="6">
        <v>27</v>
      </c>
      <c r="B29" s="136"/>
      <c r="C29" s="34" t="s">
        <v>99</v>
      </c>
      <c r="D29" s="7" t="s">
        <v>185</v>
      </c>
      <c r="E29" s="27" t="s">
        <v>90</v>
      </c>
      <c r="F29" s="27" t="s">
        <v>100</v>
      </c>
      <c r="G29" s="28" t="s">
        <v>59</v>
      </c>
      <c r="H29" s="9" t="s">
        <v>101</v>
      </c>
      <c r="I29" s="27" t="s">
        <v>18</v>
      </c>
      <c r="J29" s="27" t="s">
        <v>102</v>
      </c>
      <c r="K29" s="7">
        <v>1</v>
      </c>
      <c r="L29" s="8">
        <f t="shared" si="1"/>
        <v>6</v>
      </c>
      <c r="M29" s="57" t="s">
        <v>20</v>
      </c>
      <c r="N29" s="57"/>
    </row>
    <row r="30" spans="1:14" ht="15.75" thickBot="1">
      <c r="A30" s="6">
        <v>28</v>
      </c>
      <c r="B30" s="136"/>
      <c r="C30" s="34" t="s">
        <v>104</v>
      </c>
      <c r="D30" s="27" t="s">
        <v>105</v>
      </c>
      <c r="E30" s="27" t="s">
        <v>103</v>
      </c>
      <c r="F30" s="29" t="s">
        <v>106</v>
      </c>
      <c r="G30" s="28" t="s">
        <v>107</v>
      </c>
      <c r="H30" s="9" t="s">
        <v>108</v>
      </c>
      <c r="I30" s="28" t="s">
        <v>109</v>
      </c>
      <c r="J30" s="27" t="s">
        <v>110</v>
      </c>
      <c r="K30" s="7">
        <v>1</v>
      </c>
      <c r="L30" s="8">
        <f t="shared" si="1"/>
        <v>6</v>
      </c>
      <c r="M30" s="57" t="s">
        <v>20</v>
      </c>
      <c r="N30" s="57"/>
    </row>
    <row r="31" spans="1:14" ht="15.75" thickBot="1">
      <c r="A31" s="6">
        <v>29</v>
      </c>
      <c r="B31" s="136"/>
      <c r="C31" s="34" t="s">
        <v>111</v>
      </c>
      <c r="D31" s="27" t="s">
        <v>112</v>
      </c>
      <c r="E31" s="27" t="s">
        <v>23</v>
      </c>
      <c r="F31" s="27" t="s">
        <v>113</v>
      </c>
      <c r="G31" s="28" t="s">
        <v>114</v>
      </c>
      <c r="H31" s="9" t="s">
        <v>115</v>
      </c>
      <c r="I31" s="27" t="s">
        <v>18</v>
      </c>
      <c r="J31" s="27" t="s">
        <v>116</v>
      </c>
      <c r="K31" s="7">
        <v>1</v>
      </c>
      <c r="L31" s="8">
        <f t="shared" si="1"/>
        <v>6</v>
      </c>
      <c r="M31" s="57" t="s">
        <v>20</v>
      </c>
      <c r="N31" s="57"/>
    </row>
    <row r="32" spans="1:14" s="1" customFormat="1" ht="15.75" thickBot="1">
      <c r="A32" s="6">
        <v>30</v>
      </c>
      <c r="B32" s="137"/>
      <c r="C32" s="35" t="s">
        <v>117</v>
      </c>
      <c r="D32" s="10" t="s">
        <v>118</v>
      </c>
      <c r="E32" s="30" t="s">
        <v>90</v>
      </c>
      <c r="F32" s="30" t="s">
        <v>119</v>
      </c>
      <c r="G32" s="31" t="s">
        <v>59</v>
      </c>
      <c r="H32" s="12" t="s">
        <v>120</v>
      </c>
      <c r="I32" s="30" t="s">
        <v>18</v>
      </c>
      <c r="J32" s="30" t="s">
        <v>121</v>
      </c>
      <c r="K32" s="12">
        <v>8</v>
      </c>
      <c r="L32" s="11">
        <f t="shared" si="1"/>
        <v>48</v>
      </c>
      <c r="M32" s="74" t="s">
        <v>20</v>
      </c>
      <c r="N32" s="74"/>
    </row>
    <row r="33" spans="1:14" ht="15.75" thickBot="1">
      <c r="A33" s="6">
        <v>31</v>
      </c>
      <c r="B33" s="136" t="s">
        <v>122</v>
      </c>
      <c r="C33" s="124" t="s">
        <v>184</v>
      </c>
      <c r="D33" s="128" t="s">
        <v>123</v>
      </c>
      <c r="E33" s="125" t="s">
        <v>181</v>
      </c>
      <c r="F33" s="126" t="s">
        <v>182</v>
      </c>
      <c r="G33" s="127" t="s">
        <v>183</v>
      </c>
      <c r="H33" s="33" t="s">
        <v>18</v>
      </c>
      <c r="I33" s="32" t="s">
        <v>18</v>
      </c>
      <c r="J33" s="33" t="s">
        <v>69</v>
      </c>
      <c r="K33" s="15">
        <v>1</v>
      </c>
      <c r="L33" s="102">
        <f t="shared" si="1"/>
        <v>6</v>
      </c>
      <c r="M33" s="103" t="s">
        <v>20</v>
      </c>
      <c r="N33" s="103"/>
    </row>
    <row r="34" spans="1:14" ht="15.75" thickBot="1">
      <c r="A34" s="6">
        <v>32</v>
      </c>
      <c r="B34" s="136"/>
      <c r="C34" s="34" t="s">
        <v>124</v>
      </c>
      <c r="D34" s="27" t="s">
        <v>125</v>
      </c>
      <c r="E34" s="27" t="s">
        <v>126</v>
      </c>
      <c r="F34" s="27" t="s">
        <v>127</v>
      </c>
      <c r="G34" s="28" t="s">
        <v>128</v>
      </c>
      <c r="H34" s="9" t="s">
        <v>129</v>
      </c>
      <c r="I34" s="27" t="s">
        <v>18</v>
      </c>
      <c r="J34" s="28" t="s">
        <v>69</v>
      </c>
      <c r="K34" s="9">
        <v>1</v>
      </c>
      <c r="L34" s="8">
        <f t="shared" si="1"/>
        <v>6</v>
      </c>
      <c r="M34" s="57" t="s">
        <v>20</v>
      </c>
      <c r="N34" s="57"/>
    </row>
    <row r="35" spans="1:14" ht="15.75" thickBot="1">
      <c r="A35" s="6">
        <v>33</v>
      </c>
      <c r="B35" s="136"/>
      <c r="C35" s="75" t="s">
        <v>169</v>
      </c>
      <c r="D35" s="76" t="s">
        <v>130</v>
      </c>
      <c r="E35" s="76" t="s">
        <v>170</v>
      </c>
      <c r="F35" s="77" t="s">
        <v>172</v>
      </c>
      <c r="G35" s="67" t="s">
        <v>171</v>
      </c>
      <c r="H35" s="63"/>
      <c r="I35" s="67" t="s">
        <v>18</v>
      </c>
      <c r="J35" s="68" t="s">
        <v>131</v>
      </c>
      <c r="K35" s="63">
        <v>1</v>
      </c>
      <c r="L35" s="64">
        <f t="shared" si="1"/>
        <v>6</v>
      </c>
      <c r="M35" s="78" t="s">
        <v>87</v>
      </c>
      <c r="N35" s="78"/>
    </row>
    <row r="36" spans="1:14" ht="15.75" thickBot="1">
      <c r="A36" s="6">
        <v>34</v>
      </c>
      <c r="B36" s="135" t="s">
        <v>132</v>
      </c>
      <c r="C36" s="36" t="s">
        <v>133</v>
      </c>
      <c r="D36" s="37" t="s">
        <v>134</v>
      </c>
      <c r="E36" s="37" t="s">
        <v>135</v>
      </c>
      <c r="F36" s="37" t="s">
        <v>135</v>
      </c>
      <c r="G36" s="37" t="s">
        <v>136</v>
      </c>
      <c r="H36" s="37" t="s">
        <v>18</v>
      </c>
      <c r="I36" s="37" t="s">
        <v>18</v>
      </c>
      <c r="J36" s="37" t="s">
        <v>69</v>
      </c>
      <c r="K36" s="17">
        <v>1</v>
      </c>
      <c r="L36" s="13">
        <f t="shared" si="1"/>
        <v>6</v>
      </c>
      <c r="M36" s="79" t="s">
        <v>137</v>
      </c>
      <c r="N36" s="79"/>
    </row>
    <row r="37" spans="1:14" ht="15.75" thickBot="1">
      <c r="A37" s="6">
        <v>35</v>
      </c>
      <c r="B37" s="136"/>
      <c r="C37" s="38" t="s">
        <v>138</v>
      </c>
      <c r="D37" s="39" t="s">
        <v>139</v>
      </c>
      <c r="E37" s="39" t="s">
        <v>43</v>
      </c>
      <c r="F37" s="39" t="s">
        <v>140</v>
      </c>
      <c r="G37" s="39" t="s">
        <v>141</v>
      </c>
      <c r="H37" s="39" t="s">
        <v>18</v>
      </c>
      <c r="I37" s="39" t="s">
        <v>18</v>
      </c>
      <c r="J37" s="40" t="s">
        <v>142</v>
      </c>
      <c r="K37" s="18">
        <v>2</v>
      </c>
      <c r="L37" s="8">
        <f t="shared" si="1"/>
        <v>12</v>
      </c>
      <c r="M37" s="58" t="s">
        <v>143</v>
      </c>
      <c r="N37" s="58"/>
    </row>
    <row r="38" spans="1:14" ht="15.75" thickBot="1">
      <c r="A38" s="6">
        <v>36</v>
      </c>
      <c r="B38" s="136"/>
      <c r="C38" s="38" t="s">
        <v>144</v>
      </c>
      <c r="D38" s="39" t="s">
        <v>145</v>
      </c>
      <c r="E38" s="39" t="s">
        <v>43</v>
      </c>
      <c r="F38" s="39" t="s">
        <v>146</v>
      </c>
      <c r="G38" s="39" t="s">
        <v>136</v>
      </c>
      <c r="H38" s="39" t="s">
        <v>18</v>
      </c>
      <c r="I38" s="39" t="s">
        <v>18</v>
      </c>
      <c r="J38" s="40" t="s">
        <v>69</v>
      </c>
      <c r="K38" s="18">
        <v>1</v>
      </c>
      <c r="L38" s="8">
        <f t="shared" si="1"/>
        <v>6</v>
      </c>
      <c r="M38" s="58" t="s">
        <v>137</v>
      </c>
      <c r="N38" s="58"/>
    </row>
    <row r="39" spans="1:14" ht="15.75" thickBot="1">
      <c r="A39" s="6">
        <v>37</v>
      </c>
      <c r="B39" s="136"/>
      <c r="C39" s="16" t="s">
        <v>147</v>
      </c>
      <c r="D39" s="27" t="s">
        <v>148</v>
      </c>
      <c r="E39" s="27" t="s">
        <v>43</v>
      </c>
      <c r="F39" s="27" t="s">
        <v>149</v>
      </c>
      <c r="G39" s="27" t="s">
        <v>150</v>
      </c>
      <c r="H39" s="27" t="s">
        <v>149</v>
      </c>
      <c r="I39" s="27" t="s">
        <v>18</v>
      </c>
      <c r="J39" s="28" t="s">
        <v>142</v>
      </c>
      <c r="K39" s="7">
        <v>1</v>
      </c>
      <c r="L39" s="8">
        <f t="shared" si="1"/>
        <v>6</v>
      </c>
      <c r="M39" s="59" t="s">
        <v>20</v>
      </c>
      <c r="N39" s="59"/>
    </row>
    <row r="40" spans="1:14" ht="15.75" thickBot="1">
      <c r="A40" s="6">
        <v>38</v>
      </c>
      <c r="B40" s="136"/>
      <c r="C40" s="34" t="s">
        <v>151</v>
      </c>
      <c r="D40" s="27" t="s">
        <v>152</v>
      </c>
      <c r="E40" s="27" t="s">
        <v>153</v>
      </c>
      <c r="F40" s="27" t="s">
        <v>154</v>
      </c>
      <c r="G40" s="27" t="s">
        <v>155</v>
      </c>
      <c r="H40" s="9" t="s">
        <v>156</v>
      </c>
      <c r="I40" s="27" t="s">
        <v>18</v>
      </c>
      <c r="J40" s="28" t="s">
        <v>69</v>
      </c>
      <c r="K40" s="9">
        <v>2</v>
      </c>
      <c r="L40" s="8">
        <f t="shared" si="1"/>
        <v>12</v>
      </c>
      <c r="M40" s="60" t="s">
        <v>20</v>
      </c>
      <c r="N40" s="60"/>
    </row>
    <row r="41" spans="1:14" ht="15.75" thickBot="1">
      <c r="A41" s="6">
        <v>39</v>
      </c>
      <c r="B41" s="136"/>
      <c r="C41" s="41" t="s">
        <v>157</v>
      </c>
      <c r="D41" s="19"/>
      <c r="E41" s="42" t="s">
        <v>158</v>
      </c>
      <c r="F41" s="19" t="s">
        <v>158</v>
      </c>
      <c r="G41" s="19"/>
      <c r="H41" s="19"/>
      <c r="I41" s="19"/>
      <c r="J41" s="19"/>
      <c r="K41" s="19">
        <v>5</v>
      </c>
      <c r="L41" s="8">
        <f t="shared" si="1"/>
        <v>30</v>
      </c>
      <c r="M41" s="61" t="s">
        <v>18</v>
      </c>
      <c r="N41" s="61"/>
    </row>
    <row r="42" spans="1:14" ht="15.75" thickBot="1">
      <c r="A42" s="20">
        <v>40</v>
      </c>
      <c r="B42" s="137"/>
      <c r="C42" s="43" t="s">
        <v>159</v>
      </c>
      <c r="D42" s="21"/>
      <c r="E42" s="44" t="s">
        <v>160</v>
      </c>
      <c r="F42" s="21" t="s">
        <v>160</v>
      </c>
      <c r="G42" s="21"/>
      <c r="H42" s="21"/>
      <c r="I42" s="21"/>
      <c r="J42" s="21"/>
      <c r="K42" s="21">
        <v>5</v>
      </c>
      <c r="L42" s="11">
        <f t="shared" si="1"/>
        <v>30</v>
      </c>
      <c r="M42" s="62" t="s">
        <v>18</v>
      </c>
      <c r="N42" s="62"/>
    </row>
    <row r="43" spans="1:14">
      <c r="A43"/>
      <c r="C43" s="22"/>
      <c r="D43" s="22"/>
      <c r="E43" s="22"/>
      <c r="F43" s="22"/>
      <c r="G43" s="22"/>
      <c r="H43" s="22"/>
      <c r="I43" s="22"/>
      <c r="J43" s="22"/>
      <c r="N43" s="24"/>
    </row>
    <row r="44" spans="1:14">
      <c r="A44"/>
      <c r="C44" s="22"/>
      <c r="D44" s="22"/>
      <c r="E44" s="22"/>
      <c r="F44" s="22"/>
      <c r="G44" s="22"/>
      <c r="H44" s="22"/>
      <c r="I44" s="22"/>
      <c r="J44" s="22"/>
    </row>
    <row r="45" spans="1:14">
      <c r="A45"/>
    </row>
    <row r="46" spans="1:14">
      <c r="A46"/>
    </row>
    <row r="47" spans="1:14">
      <c r="A47"/>
    </row>
    <row r="48" spans="1:14">
      <c r="A48"/>
    </row>
    <row r="49" spans="1:14">
      <c r="A49"/>
    </row>
    <row r="50" spans="1:14">
      <c r="A50"/>
    </row>
    <row r="51" spans="1:14">
      <c r="A51"/>
    </row>
    <row r="52" spans="1:14" ht="15.75" customHeight="1">
      <c r="A52"/>
      <c r="M52" s="52"/>
      <c r="N52" s="52"/>
    </row>
    <row r="53" spans="1:14">
      <c r="A53"/>
    </row>
    <row r="54" spans="1:14">
      <c r="A54"/>
    </row>
    <row r="55" spans="1:14">
      <c r="A55"/>
    </row>
    <row r="56" spans="1:14">
      <c r="A56"/>
    </row>
    <row r="57" spans="1:14">
      <c r="A57"/>
    </row>
    <row r="58" spans="1:14">
      <c r="H58" s="23"/>
    </row>
    <row r="59" spans="1:14">
      <c r="H59" s="23"/>
    </row>
  </sheetData>
  <mergeCells count="7">
    <mergeCell ref="A1:N1"/>
    <mergeCell ref="B3:B13"/>
    <mergeCell ref="B14:B17"/>
    <mergeCell ref="B22:B32"/>
    <mergeCell ref="B33:B35"/>
    <mergeCell ref="B36:B42"/>
    <mergeCell ref="B20:B21"/>
  </mergeCells>
  <phoneticPr fontId="21" type="noConversion"/>
  <conditionalFormatting sqref="M21:N2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{F78C7E8A-5679-42C3-8C50-13119118A4A2}</x14:id>
        </ext>
      </extLst>
    </cfRule>
  </conditionalFormatting>
  <conditionalFormatting sqref="K36:L3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{94E20060-874B-439F-8FDA-33B3DD39FFE6}</x14:id>
        </ext>
      </extLst>
    </cfRule>
  </conditionalFormatting>
  <conditionalFormatting sqref="M32:N32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{DBB933A5-5D45-42AE-8D8B-F05439EF033D}</x14:id>
        </ext>
      </extLst>
    </cfRule>
  </conditionalFormatting>
  <conditionalFormatting sqref="K12:K35 K40 L3:L42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:K11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L42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 N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{C3E05EE2-5FD9-4A95-BA99-400BB7B88162}</x14:id>
        </ext>
      </extLst>
    </cfRule>
  </conditionalFormatting>
  <hyperlinks>
    <hyperlink ref="M9" r:id="rId1" xr:uid="{00000000-0004-0000-0000-000000000000}"/>
    <hyperlink ref="M10" r:id="rId2" xr:uid="{00000000-0004-0000-0000-000001000000}"/>
    <hyperlink ref="M13" r:id="rId3" xr:uid="{00000000-0004-0000-0000-000004000000}"/>
    <hyperlink ref="M14" r:id="rId4" xr:uid="{00000000-0004-0000-0000-000005000000}"/>
    <hyperlink ref="M17" r:id="rId5" xr:uid="{00000000-0004-0000-0000-000006000000}"/>
    <hyperlink ref="M22" r:id="rId6" xr:uid="{00000000-0004-0000-0000-000007000000}"/>
    <hyperlink ref="M28" r:id="rId7" xr:uid="{00000000-0004-0000-0000-000008000000}"/>
    <hyperlink ref="M29" r:id="rId8" xr:uid="{00000000-0004-0000-0000-000009000000}"/>
    <hyperlink ref="M31" r:id="rId9" xr:uid="{00000000-0004-0000-0000-00000B000000}"/>
    <hyperlink ref="M32" r:id="rId10" xr:uid="{00000000-0004-0000-0000-00000C000000}"/>
    <hyperlink ref="M34" r:id="rId11" xr:uid="{00000000-0004-0000-0000-00000D000000}"/>
    <hyperlink ref="M40" r:id="rId12" xr:uid="{00000000-0004-0000-0000-00000F000000}"/>
    <hyperlink ref="M8" r:id="rId13" xr:uid="{00000000-0004-0000-0000-000010000000}"/>
    <hyperlink ref="M30" r:id="rId14" xr:uid="{00000000-0004-0000-0000-000012000000}"/>
    <hyperlink ref="M3" r:id="rId15" xr:uid="{00000000-0004-0000-0000-000014000000}"/>
    <hyperlink ref="M6" r:id="rId16" xr:uid="{00000000-0004-0000-0000-000015000000}"/>
    <hyperlink ref="M7" r:id="rId17" xr:uid="{00000000-0004-0000-0000-000016000000}"/>
    <hyperlink ref="M36" r:id="rId18" xr:uid="{00000000-0004-0000-0000-000017000000}"/>
    <hyperlink ref="M38" r:id="rId19" xr:uid="{00000000-0004-0000-0000-000018000000}"/>
    <hyperlink ref="M18" r:id="rId20" xr:uid="{00000000-0004-0000-0000-000019000000}"/>
    <hyperlink ref="M39" r:id="rId21" xr:uid="{00000000-0004-0000-0000-00001A000000}"/>
    <hyperlink ref="M20" r:id="rId22" xr:uid="{5EAF2F70-555A-4B25-966F-95095861DC0E}"/>
    <hyperlink ref="M23" r:id="rId23" xr:uid="{6B884554-8BB6-4BF7-8096-D834E9729A06}"/>
    <hyperlink ref="M11" r:id="rId24" xr:uid="{44B658D6-BFFD-46B9-B230-29405BAF9534}"/>
    <hyperlink ref="M12" r:id="rId25" xr:uid="{367FEFFE-61E8-47BB-BCCA-FD3358349566}"/>
    <hyperlink ref="M33" r:id="rId26" xr:uid="{D1D06D79-D259-47BA-BC7F-8742EAB7848C}"/>
    <hyperlink ref="M24" r:id="rId27" xr:uid="{5545F658-0692-42E9-BD6F-76E0A6B030B0}"/>
    <hyperlink ref="M26" r:id="rId28" xr:uid="{168ECF43-5CE3-4702-A056-8FA8BBC47676}"/>
    <hyperlink ref="M25" r:id="rId29" xr:uid="{EA5E5506-441F-4FE0-B453-D92044CD3CD6}"/>
    <hyperlink ref="M4" r:id="rId30" xr:uid="{2EF0B57E-A4CF-4AC0-9358-948CDF39D8B4}"/>
    <hyperlink ref="C15" r:id="rId31" xr:uid="{44A99C6C-4AC4-4D03-96BE-D592031C9536}"/>
    <hyperlink ref="M15" r:id="rId32" xr:uid="{1A7B0E41-616E-45F1-BF6C-4CBB22A55EC6}"/>
    <hyperlink ref="M19" r:id="rId33" xr:uid="{0E9DC705-3503-4FA0-87A9-DF2A5B60045D}"/>
    <hyperlink ref="M16" r:id="rId34" xr:uid="{E7A9FE43-2492-4F96-944F-8153D9DD3BC5}"/>
    <hyperlink ref="M5" r:id="rId35" xr:uid="{307763C7-77E9-4298-8365-93694DC5AA9D}"/>
    <hyperlink ref="M27" r:id="rId36" xr:uid="{57DF62BF-599B-4CBE-A3A7-7AFF81EE4B99}"/>
  </hyperlinks>
  <pageMargins left="0.7" right="0.7" top="0.75" bottom="0.75" header="0.3" footer="0.3"/>
  <pageSetup orientation="portrait" r:id="rId3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8C7E8A-5679-42C3-8C50-13119118A4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M21:N21</xm:sqref>
        </x14:conditionalFormatting>
        <x14:conditionalFormatting xmlns:xm="http://schemas.microsoft.com/office/excel/2006/main">
          <x14:cfRule type="dataBar" id="{94E20060-874B-439F-8FDA-33B3DD39FF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M3:M6</xm:sqref>
        </x14:conditionalFormatting>
        <x14:conditionalFormatting xmlns:xm="http://schemas.microsoft.com/office/excel/2006/main">
          <x14:cfRule type="dataBar" id="{DBB933A5-5D45-42AE-8D8B-F05439EF03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M32:N32</xm:sqref>
        </x14:conditionalFormatting>
        <x14:conditionalFormatting xmlns:xm="http://schemas.microsoft.com/office/excel/2006/main">
          <x14:cfRule type="dataBar" id="{C3E05EE2-5FD9-4A95-BA99-400BB7B881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 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HP</cp:lastModifiedBy>
  <dcterms:created xsi:type="dcterms:W3CDTF">2021-06-08T13:45:00Z</dcterms:created>
  <dcterms:modified xsi:type="dcterms:W3CDTF">2022-04-21T07:13:44Z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6C426FAB849F49D4ADFC871332999A05</vt:lpwstr>
  </property>
  <property fmtid="{D5CDD505-2E9C-101B-9397-08002B2CF9AE}" pid="3" name="KSOProductBuildVer">
    <vt:lpwstr>1033-11.2.0.10382</vt:lpwstr>
  </property>
</Properties>
</file>