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/>
  <mc:AlternateContent xmlns:mc="http://schemas.openxmlformats.org/markup-compatibility/2006">
    <mc:Choice Requires="x15">
      <x15ac:absPath xmlns:x15ac="http://schemas.microsoft.com/office/spreadsheetml/2010/11/ac" url="D:\eSpark\ChrisitanRaun-AnnanasMotor\Deliverables\Interface_Board\BOM\"/>
    </mc:Choice>
  </mc:AlternateContent>
  <xr:revisionPtr revIDLastSave="0" documentId="13_ncr:1_{08FA04E2-A0AE-4F75-B513-D4E41FE38E6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7" i="1" l="1"/>
  <c r="T37" i="1"/>
  <c r="V25" i="1"/>
  <c r="V26" i="1"/>
  <c r="V27" i="1"/>
  <c r="V34" i="1" s="1"/>
  <c r="V28" i="1"/>
  <c r="V29" i="1"/>
  <c r="V30" i="1"/>
  <c r="V31" i="1"/>
  <c r="V6" i="1"/>
  <c r="V5" i="1"/>
  <c r="V4" i="1"/>
  <c r="V3" i="1"/>
  <c r="T31" i="1"/>
  <c r="T3" i="1"/>
  <c r="R31" i="1"/>
  <c r="T30" i="1"/>
  <c r="R27" i="1"/>
  <c r="T26" i="1"/>
  <c r="T27" i="1"/>
  <c r="T28" i="1"/>
  <c r="T29" i="1"/>
  <c r="T34" i="1" s="1"/>
  <c r="T35" i="1" s="1"/>
  <c r="V24" i="1"/>
  <c r="T24" i="1"/>
  <c r="T25" i="1"/>
  <c r="V17" i="1"/>
  <c r="V18" i="1"/>
  <c r="V19" i="1"/>
  <c r="V20" i="1"/>
  <c r="V21" i="1"/>
  <c r="V22" i="1"/>
  <c r="V23" i="1"/>
  <c r="V16" i="1"/>
  <c r="T16" i="1"/>
  <c r="T17" i="1"/>
  <c r="T18" i="1"/>
  <c r="T19" i="1"/>
  <c r="T20" i="1"/>
  <c r="T21" i="1"/>
  <c r="T22" i="1"/>
  <c r="T23" i="1"/>
  <c r="V15" i="1"/>
  <c r="T14" i="1"/>
  <c r="T15" i="1"/>
  <c r="T13" i="1"/>
  <c r="V7" i="1"/>
  <c r="V8" i="1"/>
  <c r="V9" i="1"/>
  <c r="V10" i="1"/>
  <c r="V11" i="1"/>
  <c r="V12" i="1"/>
  <c r="V13" i="1"/>
  <c r="V14" i="1"/>
  <c r="T6" i="1"/>
  <c r="T7" i="1"/>
  <c r="T8" i="1"/>
  <c r="T9" i="1"/>
  <c r="T10" i="1"/>
  <c r="T11" i="1"/>
  <c r="T12" i="1"/>
  <c r="T5" i="1"/>
  <c r="T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O3" i="1"/>
  <c r="N3" i="1"/>
  <c r="V38" i="1" l="1"/>
  <c r="T38" i="1"/>
  <c r="R30" i="1"/>
  <c r="R29" i="1"/>
  <c r="R34" i="1" s="1"/>
  <c r="R28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V35" i="1" l="1"/>
</calcChain>
</file>

<file path=xl/sharedStrings.xml><?xml version="1.0" encoding="utf-8"?>
<sst xmlns="http://schemas.openxmlformats.org/spreadsheetml/2006/main" count="329" uniqueCount="221">
  <si>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</si>
  <si>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</si>
  <si>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</si>
  <si>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</si>
  <si>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</si>
  <si>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</si>
  <si>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</si>
  <si>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</si>
  <si>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</si>
  <si>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</si>
  <si>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</si>
  <si>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</si>
  <si>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</si>
  <si>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Unit Cost(1)</t>
  </si>
  <si>
    <t>Total Cost (1)</t>
  </si>
  <si>
    <t>Remarks</t>
  </si>
  <si>
    <t>Capacitor</t>
  </si>
  <si>
    <t>CAP CER 0.1UF 100V X7R 0603</t>
  </si>
  <si>
    <t>C34, C35, C37, C40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</si>
  <si>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</si>
  <si>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</si>
  <si>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</si>
  <si>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</si>
  <si>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</si>
  <si>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</si>
  <si>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</si>
  <si>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</si>
  <si>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</si>
  <si>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</si>
  <si>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</si>
  <si>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</si>
  <si>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</si>
  <si>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</si>
  <si>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</si>
  <si>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</si>
  <si>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</si>
  <si>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</si>
  <si>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</si>
  <si>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</si>
  <si>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</si>
  <si>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</si>
  <si>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C36, C56, C57</t>
  </si>
  <si>
    <t>CGA3E2X7R2A223K080AA</t>
  </si>
  <si>
    <t xml:space="preserve">TDK </t>
  </si>
  <si>
    <t>C21122</t>
  </si>
  <si>
    <t xml:space="preserve">CL10B223KB8NNNC
</t>
  </si>
  <si>
    <t>22nF</t>
  </si>
  <si>
    <t>CAP CER 2.2UF 50V X5R 0603</t>
  </si>
  <si>
    <t>C38</t>
  </si>
  <si>
    <t>UMK107BBJ225MA-T</t>
  </si>
  <si>
    <t xml:space="preserve">Taiyo Yuden
</t>
  </si>
  <si>
    <t>C268016</t>
  </si>
  <si>
    <t xml:space="preserve">UMK107BBJ225KA-T
</t>
  </si>
  <si>
    <t>2.2uF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</si>
  <si>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</si>
  <si>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</si>
  <si>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</si>
  <si>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</si>
  <si>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</si>
  <si>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</si>
  <si>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</si>
  <si>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</si>
  <si>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C44, C79</t>
  </si>
  <si>
    <t>VKMD1001J101MV</t>
  </si>
  <si>
    <t>C487384</t>
  </si>
  <si>
    <t>CAP ALUM 10uF 25V SMD</t>
  </si>
  <si>
    <t>C1</t>
  </si>
  <si>
    <t>RVT1E100M0405</t>
  </si>
  <si>
    <t>Honor Elec</t>
  </si>
  <si>
    <t>C3343</t>
  </si>
  <si>
    <t>10uF</t>
  </si>
  <si>
    <t xml:space="preserve">10V 22uF ±10% CASE-A_3216 Tantalum Capacitors ROHS
</t>
  </si>
  <si>
    <t>C2</t>
  </si>
  <si>
    <t>Cap Case-A</t>
  </si>
  <si>
    <t>CA45A-A-10V-22uF-K</t>
  </si>
  <si>
    <t>CEC</t>
  </si>
  <si>
    <t>C141745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</si>
  <si>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</si>
  <si>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</si>
  <si>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</si>
  <si>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</si>
  <si>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</si>
  <si>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</si>
  <si>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</si>
  <si>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</si>
  <si>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</si>
  <si>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</si>
  <si>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</si>
  <si>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</si>
  <si>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</si>
  <si>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</si>
  <si>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</si>
  <si>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</si>
  <si>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</si>
  <si>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</si>
  <si>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</si>
  <si>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</si>
  <si>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</si>
  <si>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</si>
  <si>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</si>
  <si>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</si>
  <si>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</si>
  <si>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</si>
  <si>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</si>
  <si>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</si>
  <si>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</si>
  <si>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</si>
  <si>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</si>
  <si>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</si>
  <si>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</si>
  <si>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</si>
  <si>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</si>
  <si>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</si>
  <si>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R1,R18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</si>
  <si>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</si>
  <si>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</si>
  <si>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</si>
  <si>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</si>
  <si>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</si>
  <si>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</si>
  <si>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</si>
  <si>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</si>
  <si>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</si>
  <si>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</si>
  <si>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R21, R22, R29</t>
  </si>
  <si>
    <t>RC0603FR-071KL</t>
  </si>
  <si>
    <t>C22548</t>
  </si>
  <si>
    <t>1K</t>
  </si>
  <si>
    <t>RES SMD ±5% ±200ppm/℃ 0.18Ω 1W 2512</t>
  </si>
  <si>
    <t>R19, R20</t>
  </si>
  <si>
    <t>RES 2512</t>
  </si>
  <si>
    <t>RTT25R18JTE</t>
  </si>
  <si>
    <t xml:space="preserve">
RALEC</t>
  </si>
  <si>
    <t>C159165</t>
  </si>
  <si>
    <t>180m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</si>
  <si>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</si>
  <si>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</si>
  <si>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</si>
  <si>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</si>
  <si>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</si>
  <si>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</si>
  <si>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</si>
  <si>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</si>
  <si>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</si>
  <si>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</si>
  <si>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</si>
  <si>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</si>
  <si>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</si>
  <si>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</si>
  <si>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</si>
  <si>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</si>
  <si>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</si>
  <si>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</si>
  <si>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</si>
  <si>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 xml:space="preserve">IC MTR DRV BIPOLAR 5.5-36V 32QFN
</t>
  </si>
  <si>
    <t>U3</t>
  </si>
  <si>
    <t>32-QFN (5x5)</t>
  </si>
  <si>
    <t>TMC2202-WA-T</t>
  </si>
  <si>
    <t xml:space="preserve">Trinamic </t>
  </si>
  <si>
    <t>MOQ=10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</si>
  <si>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</si>
  <si>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</si>
  <si>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</si>
  <si>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</si>
  <si>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</si>
  <si>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</si>
  <si>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 xml:space="preserve">IC REG LINEAR 3.3V 1A SOT223
</t>
  </si>
  <si>
    <t>U1</t>
  </si>
  <si>
    <t xml:space="preserve">SOT-223-3
</t>
  </si>
  <si>
    <t>AZ1117CH-3.3TRG1</t>
  </si>
  <si>
    <t xml:space="preserve">Diodes </t>
  </si>
  <si>
    <t>C92102</t>
  </si>
  <si>
    <t>---</t>
  </si>
  <si>
    <t>Connector</t>
  </si>
  <si>
    <t>P=2.54mm Female Headers,SMD,ROHS</t>
  </si>
  <si>
    <t>J1</t>
  </si>
  <si>
    <t>PHF254SMD-x</t>
  </si>
  <si>
    <t>RTLECS</t>
  </si>
  <si>
    <t>Aliexpress</t>
  </si>
  <si>
    <t>MOQ=100</t>
  </si>
  <si>
    <t>10/100 BASE-TX RJ45 WITH LEDS_x000D_
INTEGRATED MAGNETICS CONNECTOR</t>
  </si>
  <si>
    <t>J2, J3</t>
  </si>
  <si>
    <t>SK07-111071ENL</t>
  </si>
  <si>
    <t>SAK ELECTRONICS CO.,LTD</t>
  </si>
  <si>
    <t>----</t>
  </si>
  <si>
    <t>Local Supplier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</si>
  <si>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</si>
  <si>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</si>
  <si>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</si>
  <si>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</si>
  <si>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</si>
  <si>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</si>
  <si>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</si>
  <si>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</si>
  <si>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</si>
  <si>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</si>
  <si>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</si>
  <si>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</si>
  <si>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</si>
  <si>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</si>
  <si>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>Solder Bridge</t>
  </si>
  <si>
    <t>DO NOT Mount</t>
  </si>
  <si>
    <t>Test Point ON</t>
  </si>
  <si>
    <t>P4, P5, P6, P7,P8</t>
  </si>
  <si>
    <t>TEST POINT</t>
  </si>
  <si>
    <t xml:space="preserve">Total Component Cost </t>
  </si>
  <si>
    <t>Single Board Cost</t>
  </si>
  <si>
    <t xml:space="preserve"> SB1,SB2,SB3,SB4,SB5</t>
  </si>
  <si>
    <t>Quantity 500</t>
  </si>
  <si>
    <t>Unit Cost(500)</t>
  </si>
  <si>
    <t>Quantity 1000</t>
  </si>
  <si>
    <t>Total Cost (500)</t>
  </si>
  <si>
    <t>Unit Cost(1000)</t>
  </si>
  <si>
    <t>Total Cost (1000)</t>
  </si>
  <si>
    <t>C2589</t>
  </si>
  <si>
    <t>--</t>
  </si>
  <si>
    <t>LCSC/MOQ (1000)</t>
  </si>
  <si>
    <t>LCSC/MOQ (500)</t>
  </si>
  <si>
    <t>Alibaba</t>
  </si>
  <si>
    <t>Alibaba Shipping Charges</t>
  </si>
  <si>
    <t>Total Cost With Shipping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</si>
</sst>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.0000"/>
    <numFmt numFmtId="166" formatCode="_-[$$-409]* #,##0.00_ ;_-[$$-409]* \-#,##0.00\ ;_-[$$-409]* &quot;-&quot;??_ ;_-@_ "/>
  </numFmts>
  <fonts count="28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800080"/>
      <name val="Calibri"/>
      <charset val="134"/>
      <scheme val="minor"/>
    </font>
    <font>
      <sz val="11"/>
      <color rgb="FF333333"/>
      <name val="Calibri"/>
      <charset val="134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sz val="11"/>
      <color rgb="FF24292F"/>
      <name val="Calibri"/>
      <charset val="134"/>
    </font>
    <font>
      <sz val="11"/>
      <color theme="1"/>
      <name val="Calibri"/>
      <charset val="134"/>
    </font>
    <font>
      <b/>
      <sz val="12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trike/>
      <sz val="11"/>
      <color rgb="FFFF0000"/>
      <name val="Calibri"/>
      <charset val="134"/>
      <scheme val="minor"/>
    </font>
    <font>
      <b/>
      <strike/>
      <sz val="11"/>
      <color rgb="FFFF0000"/>
      <name val="Calibri"/>
      <charset val="134"/>
      <scheme val="minor"/>
    </font>
    <font>
      <b/>
      <sz val="11"/>
      <color theme="1"/>
      <name val="Calibri"/>
      <family val="2"/>
      <scheme val="minor"/>
    </font>
    <font>
      <u/>
      <sz val="11"/>
      <color rgb="FF800080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87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8" fillId="6" borderId="18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left" vertical="center"/>
    </xf>
    <xf numFmtId="0" fontId="0" fillId="6" borderId="8" xfId="0" applyFont="1" applyFill="1" applyBorder="1" applyAlignment="1">
      <alignment horizontal="center" vertical="center"/>
    </xf>
    <xf numFmtId="0" fontId="0" fillId="6" borderId="11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9" fillId="7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" fillId="3" borderId="19" xfId="0" applyFont="1" applyFill="1" applyBorder="1" applyAlignment="1">
      <alignment horizontal="center" vertical="center"/>
    </xf>
    <xf numFmtId="165" fontId="2" fillId="3" borderId="4" xfId="0" applyNumberFormat="1" applyFont="1" applyFill="1" applyBorder="1" applyAlignment="1">
      <alignment horizontal="center" vertical="center"/>
    </xf>
    <xf numFmtId="165" fontId="11" fillId="0" borderId="8" xfId="1" applyNumberFormat="1" applyFont="1" applyBorder="1" applyAlignment="1">
      <alignment horizontal="center" vertical="center"/>
    </xf>
    <xf numFmtId="165" fontId="12" fillId="0" borderId="8" xfId="0" applyNumberFormat="1" applyFont="1" applyBorder="1" applyAlignment="1">
      <alignment horizontal="center" vertical="center"/>
    </xf>
    <xf numFmtId="165" fontId="11" fillId="0" borderId="11" xfId="1" applyNumberFormat="1" applyFont="1" applyBorder="1" applyAlignment="1">
      <alignment horizontal="center" vertical="center"/>
    </xf>
    <xf numFmtId="165" fontId="12" fillId="0" borderId="11" xfId="0" applyNumberFormat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165" fontId="14" fillId="0" borderId="11" xfId="0" applyNumberFormat="1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165" fontId="12" fillId="0" borderId="14" xfId="0" applyNumberFormat="1" applyFont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horizontal="center" vertical="center"/>
    </xf>
    <xf numFmtId="165" fontId="12" fillId="4" borderId="14" xfId="0" applyNumberFormat="1" applyFont="1" applyFill="1" applyBorder="1" applyAlignment="1">
      <alignment horizontal="center" vertical="center"/>
    </xf>
    <xf numFmtId="165" fontId="12" fillId="4" borderId="16" xfId="0" applyNumberFormat="1" applyFont="1" applyFill="1" applyBorder="1" applyAlignment="1">
      <alignment horizontal="center" vertical="center"/>
    </xf>
    <xf numFmtId="165" fontId="12" fillId="0" borderId="16" xfId="0" applyNumberFormat="1" applyFont="1" applyBorder="1" applyAlignment="1">
      <alignment horizontal="center" vertical="center"/>
    </xf>
    <xf numFmtId="165" fontId="15" fillId="6" borderId="18" xfId="1" applyNumberFormat="1" applyFont="1" applyFill="1" applyBorder="1" applyAlignment="1">
      <alignment horizontal="center" vertical="center"/>
    </xf>
    <xf numFmtId="165" fontId="12" fillId="6" borderId="18" xfId="0" applyNumberFormat="1" applyFont="1" applyFill="1" applyBorder="1" applyAlignment="1">
      <alignment horizontal="center" vertical="center"/>
    </xf>
    <xf numFmtId="165" fontId="12" fillId="4" borderId="8" xfId="0" applyNumberFormat="1" applyFont="1" applyFill="1" applyBorder="1" applyAlignment="1">
      <alignment horizontal="center" vertical="center"/>
    </xf>
    <xf numFmtId="165" fontId="12" fillId="4" borderId="11" xfId="0" applyNumberFormat="1" applyFont="1" applyFill="1" applyBorder="1" applyAlignment="1">
      <alignment horizontal="center" vertical="center"/>
    </xf>
    <xf numFmtId="165" fontId="14" fillId="4" borderId="11" xfId="0" applyNumberFormat="1" applyFont="1" applyFill="1" applyBorder="1" applyAlignment="1">
      <alignment horizontal="center" vertical="center"/>
    </xf>
    <xf numFmtId="165" fontId="13" fillId="4" borderId="14" xfId="1" applyNumberFormat="1" applyFont="1" applyFill="1" applyBorder="1" applyAlignment="1">
      <alignment horizontal="center" vertical="center"/>
    </xf>
    <xf numFmtId="165" fontId="12" fillId="6" borderId="8" xfId="0" applyNumberFormat="1" applyFont="1" applyFill="1" applyBorder="1" applyAlignment="1">
      <alignment horizontal="center" vertical="center"/>
    </xf>
    <xf numFmtId="0" fontId="16" fillId="6" borderId="8" xfId="1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11" fillId="6" borderId="11" xfId="1" applyFont="1" applyFill="1" applyBorder="1" applyAlignment="1">
      <alignment horizontal="center" vertical="center"/>
    </xf>
    <xf numFmtId="165" fontId="17" fillId="6" borderId="11" xfId="0" applyNumberFormat="1" applyFont="1" applyFill="1" applyBorder="1" applyAlignment="1">
      <alignment horizontal="center" vertical="center"/>
    </xf>
    <xf numFmtId="165" fontId="12" fillId="6" borderId="11" xfId="0" applyNumberFormat="1" applyFont="1" applyFill="1" applyBorder="1" applyAlignment="1">
      <alignment horizontal="center" vertical="center"/>
    </xf>
    <xf numFmtId="165" fontId="18" fillId="6" borderId="11" xfId="0" applyNumberFormat="1" applyFont="1" applyFill="1" applyBorder="1" applyAlignment="1">
      <alignment horizontal="center" vertical="center"/>
    </xf>
    <xf numFmtId="0" fontId="11" fillId="4" borderId="11" xfId="1" applyFill="1" applyBorder="1" applyAlignment="1">
      <alignment horizontal="center" vertical="center"/>
    </xf>
    <xf numFmtId="165" fontId="12" fillId="0" borderId="11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18" fillId="0" borderId="8" xfId="0" applyNumberFormat="1" applyFont="1" applyBorder="1" applyAlignment="1">
      <alignment horizontal="center" vertical="center"/>
    </xf>
    <xf numFmtId="165" fontId="18" fillId="0" borderId="11" xfId="0" applyNumberFormat="1" applyFont="1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wrapText="1"/>
    </xf>
    <xf numFmtId="165" fontId="18" fillId="0" borderId="14" xfId="0" applyNumberFormat="1" applyFont="1" applyBorder="1" applyAlignment="1">
      <alignment horizontal="center" vertical="center"/>
    </xf>
    <xf numFmtId="165" fontId="18" fillId="0" borderId="16" xfId="0" applyNumberFormat="1" applyFont="1" applyBorder="1" applyAlignment="1">
      <alignment horizontal="center" vertical="center"/>
    </xf>
    <xf numFmtId="164" fontId="8" fillId="6" borderId="26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165" fontId="18" fillId="6" borderId="8" xfId="0" applyNumberFormat="1" applyFont="1" applyFill="1" applyBorder="1" applyAlignment="1">
      <alignment horizontal="center" vertical="center"/>
    </xf>
    <xf numFmtId="165" fontId="18" fillId="0" borderId="11" xfId="0" applyNumberFormat="1" applyFont="1" applyFill="1" applyBorder="1" applyAlignment="1">
      <alignment horizontal="center" vertical="center"/>
    </xf>
    <xf numFmtId="0" fontId="10" fillId="0" borderId="0" xfId="0" applyFont="1"/>
    <xf numFmtId="0" fontId="0" fillId="0" borderId="7" xfId="0" quotePrefix="1" applyFont="1" applyFill="1" applyBorder="1" applyAlignment="1">
      <alignment horizontal="left" vertical="center"/>
    </xf>
    <xf numFmtId="0" fontId="0" fillId="0" borderId="8" xfId="0" quotePrefix="1" applyFont="1" applyFill="1" applyBorder="1" applyAlignment="1">
      <alignment horizontal="center" vertical="center"/>
    </xf>
    <xf numFmtId="0" fontId="0" fillId="4" borderId="8" xfId="0" quotePrefix="1" applyFont="1" applyFill="1" applyBorder="1" applyAlignment="1">
      <alignment horizontal="center" vertical="center"/>
    </xf>
    <xf numFmtId="0" fontId="7" fillId="4" borderId="8" xfId="0" quotePrefix="1" applyFont="1" applyFill="1" applyBorder="1" applyAlignment="1">
      <alignment horizontal="center" vertical="center"/>
    </xf>
    <xf numFmtId="0" fontId="0" fillId="0" borderId="10" xfId="0" quotePrefix="1" applyFont="1" applyFill="1" applyBorder="1" applyAlignment="1">
      <alignment horizontal="left" vertical="center"/>
    </xf>
    <xf numFmtId="0" fontId="0" fillId="4" borderId="11" xfId="0" quotePrefix="1" applyFont="1" applyFill="1" applyBorder="1" applyAlignment="1">
      <alignment horizontal="center" vertical="center"/>
    </xf>
    <xf numFmtId="0" fontId="0" fillId="0" borderId="11" xfId="0" quotePrefix="1" applyFont="1" applyFill="1" applyBorder="1" applyAlignment="1">
      <alignment horizontal="center" vertical="center"/>
    </xf>
    <xf numFmtId="0" fontId="7" fillId="4" borderId="11" xfId="0" quotePrefix="1" applyFont="1" applyFill="1" applyBorder="1" applyAlignment="1">
      <alignment horizontal="center" vertical="center"/>
    </xf>
    <xf numFmtId="0" fontId="6" fillId="4" borderId="11" xfId="0" quotePrefix="1" applyFont="1" applyFill="1" applyBorder="1" applyAlignment="1">
      <alignment horizontal="center" vertical="center"/>
    </xf>
    <xf numFmtId="0" fontId="0" fillId="0" borderId="10" xfId="0" quotePrefix="1" applyFont="1" applyBorder="1" applyAlignment="1">
      <alignment horizontal="left" vertical="center"/>
    </xf>
    <xf numFmtId="0" fontId="0" fillId="0" borderId="11" xfId="0" quotePrefix="1" applyFont="1" applyBorder="1" applyAlignment="1">
      <alignment horizontal="center" vertical="center"/>
    </xf>
    <xf numFmtId="0" fontId="7" fillId="0" borderId="11" xfId="0" quotePrefix="1" applyFont="1" applyBorder="1" applyAlignment="1">
      <alignment horizontal="center" vertical="center"/>
    </xf>
    <xf numFmtId="0" fontId="13" fillId="0" borderId="11" xfId="1" quotePrefix="1" applyFont="1" applyBorder="1" applyAlignment="1">
      <alignment horizontal="center" vertical="center"/>
    </xf>
    <xf numFmtId="0" fontId="13" fillId="0" borderId="11" xfId="1" quotePrefix="1" applyFont="1" applyFill="1" applyBorder="1" applyAlignment="1">
      <alignment horizontal="center" vertical="center"/>
    </xf>
    <xf numFmtId="0" fontId="0" fillId="0" borderId="13" xfId="0" quotePrefix="1" applyFont="1" applyBorder="1" applyAlignment="1">
      <alignment horizontal="left" vertical="center"/>
    </xf>
    <xf numFmtId="0" fontId="0" fillId="4" borderId="14" xfId="0" quotePrefix="1" applyFont="1" applyFill="1" applyBorder="1" applyAlignment="1">
      <alignment horizontal="center" vertical="center"/>
    </xf>
    <xf numFmtId="0" fontId="0" fillId="0" borderId="14" xfId="0" quotePrefix="1" applyFont="1" applyBorder="1" applyAlignment="1">
      <alignment horizontal="center" vertical="center"/>
    </xf>
    <xf numFmtId="0" fontId="7" fillId="0" borderId="14" xfId="0" quotePrefix="1" applyFont="1" applyBorder="1" applyAlignment="1">
      <alignment horizontal="center" vertical="center"/>
    </xf>
    <xf numFmtId="0" fontId="7" fillId="4" borderId="14" xfId="0" quotePrefix="1" applyFont="1" applyFill="1" applyBorder="1" applyAlignment="1">
      <alignment horizontal="center" vertical="center"/>
    </xf>
    <xf numFmtId="0" fontId="13" fillId="0" borderId="14" xfId="1" quotePrefix="1" applyFont="1" applyBorder="1" applyAlignment="1">
      <alignment horizontal="center" vertical="center"/>
    </xf>
    <xf numFmtId="0" fontId="0" fillId="0" borderId="7" xfId="0" quotePrefix="1" applyFont="1" applyBorder="1" applyAlignment="1">
      <alignment horizontal="left" vertical="center"/>
    </xf>
    <xf numFmtId="0" fontId="0" fillId="0" borderId="8" xfId="0" quotePrefix="1" applyFont="1" applyBorder="1" applyAlignment="1">
      <alignment horizontal="center" vertical="center"/>
    </xf>
    <xf numFmtId="0" fontId="7" fillId="0" borderId="8" xfId="0" quotePrefix="1" applyFont="1" applyBorder="1" applyAlignment="1">
      <alignment horizontal="center" vertical="center"/>
    </xf>
    <xf numFmtId="0" fontId="13" fillId="0" borderId="8" xfId="1" quotePrefix="1" applyFont="1" applyBorder="1" applyAlignment="1">
      <alignment horizontal="center" vertical="center"/>
    </xf>
    <xf numFmtId="0" fontId="0" fillId="4" borderId="15" xfId="0" quotePrefix="1" applyFont="1" applyFill="1" applyBorder="1" applyAlignment="1">
      <alignment horizontal="left" vertical="center"/>
    </xf>
    <xf numFmtId="0" fontId="0" fillId="4" borderId="16" xfId="0" quotePrefix="1" applyFont="1" applyFill="1" applyBorder="1" applyAlignment="1">
      <alignment horizontal="center" vertical="center"/>
    </xf>
    <xf numFmtId="0" fontId="7" fillId="4" borderId="16" xfId="0" quotePrefix="1" applyFont="1" applyFill="1" applyBorder="1" applyAlignment="1">
      <alignment horizontal="center" vertical="center"/>
    </xf>
    <xf numFmtId="0" fontId="11" fillId="4" borderId="16" xfId="1" quotePrefix="1" applyFill="1" applyBorder="1" applyAlignment="1">
      <alignment horizontal="center" vertical="center"/>
    </xf>
    <xf numFmtId="0" fontId="8" fillId="6" borderId="17" xfId="0" quotePrefix="1" applyFont="1" applyFill="1" applyBorder="1" applyAlignment="1">
      <alignment horizontal="left" vertical="center"/>
    </xf>
    <xf numFmtId="0" fontId="8" fillId="6" borderId="18" xfId="0" quotePrefix="1" applyFont="1" applyFill="1" applyBorder="1" applyAlignment="1">
      <alignment horizontal="center" vertical="center"/>
    </xf>
    <xf numFmtId="0" fontId="0" fillId="4" borderId="7" xfId="0" quotePrefix="1" applyFont="1" applyFill="1" applyBorder="1" applyAlignment="1">
      <alignment horizontal="left" vertical="center"/>
    </xf>
    <xf numFmtId="0" fontId="13" fillId="4" borderId="8" xfId="1" quotePrefix="1" applyFont="1" applyFill="1" applyBorder="1" applyAlignment="1">
      <alignment horizontal="center" vertical="center"/>
    </xf>
    <xf numFmtId="0" fontId="0" fillId="4" borderId="10" xfId="0" quotePrefix="1" applyFont="1" applyFill="1" applyBorder="1" applyAlignment="1">
      <alignment horizontal="left" vertical="center"/>
    </xf>
    <xf numFmtId="0" fontId="13" fillId="4" borderId="11" xfId="1" quotePrefix="1" applyFont="1" applyFill="1" applyBorder="1" applyAlignment="1">
      <alignment horizontal="center" vertical="center"/>
    </xf>
    <xf numFmtId="0" fontId="0" fillId="4" borderId="13" xfId="0" quotePrefix="1" applyFont="1" applyFill="1" applyBorder="1" applyAlignment="1">
      <alignment horizontal="left" vertical="center"/>
    </xf>
    <xf numFmtId="0" fontId="0" fillId="6" borderId="7" xfId="0" quotePrefix="1" applyFont="1" applyFill="1" applyBorder="1" applyAlignment="1">
      <alignment horizontal="left" vertical="center"/>
    </xf>
    <xf numFmtId="0" fontId="0" fillId="6" borderId="8" xfId="0" quotePrefix="1" applyFont="1" applyFill="1" applyBorder="1" applyAlignment="1">
      <alignment horizontal="center" vertical="center"/>
    </xf>
    <xf numFmtId="0" fontId="0" fillId="6" borderId="10" xfId="0" quotePrefix="1" applyFont="1" applyFill="1" applyBorder="1" applyAlignment="1">
      <alignment horizontal="left" vertical="center"/>
    </xf>
    <xf numFmtId="0" fontId="0" fillId="6" borderId="11" xfId="0" quotePrefix="1" applyFont="1" applyFill="1" applyBorder="1" applyAlignment="1">
      <alignment horizontal="center" vertical="center"/>
    </xf>
    <xf numFmtId="0" fontId="7" fillId="6" borderId="11" xfId="0" quotePrefix="1" applyFont="1" applyFill="1" applyBorder="1" applyAlignment="1">
      <alignment horizontal="center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quotePrefix="1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quotePrefix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164" fontId="0" fillId="0" borderId="0" xfId="0" applyNumberFormat="1" applyFont="1" applyBorder="1" applyAlignment="1">
      <alignment horizontal="center" vertical="center"/>
    </xf>
    <xf numFmtId="164" fontId="0" fillId="0" borderId="0" xfId="0" applyNumberFormat="1" applyFont="1" applyFill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164" fontId="23" fillId="0" borderId="11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Border="1" applyAlignment="1">
      <alignment horizontal="center" vertical="center"/>
    </xf>
    <xf numFmtId="164" fontId="0" fillId="0" borderId="16" xfId="0" applyNumberFormat="1" applyFont="1" applyBorder="1" applyAlignment="1">
      <alignment horizontal="center" vertical="center"/>
    </xf>
    <xf numFmtId="165" fontId="14" fillId="0" borderId="0" xfId="0" applyNumberFormat="1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165" fontId="18" fillId="0" borderId="28" xfId="0" applyNumberFormat="1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0" fillId="6" borderId="15" xfId="0" quotePrefix="1" applyFont="1" applyFill="1" applyBorder="1" applyAlignment="1">
      <alignment horizontal="left" vertical="center"/>
    </xf>
    <xf numFmtId="0" fontId="0" fillId="6" borderId="16" xfId="0" quotePrefix="1" applyFont="1" applyFill="1" applyBorder="1" applyAlignment="1">
      <alignment horizontal="center" vertical="center"/>
    </xf>
    <xf numFmtId="0" fontId="7" fillId="6" borderId="16" xfId="0" quotePrefix="1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center" vertical="center"/>
    </xf>
    <xf numFmtId="165" fontId="12" fillId="6" borderId="16" xfId="0" applyNumberFormat="1" applyFont="1" applyFill="1" applyBorder="1" applyAlignment="1">
      <alignment horizontal="center" vertical="center"/>
    </xf>
    <xf numFmtId="164" fontId="0" fillId="6" borderId="25" xfId="0" applyNumberFormat="1" applyFont="1" applyFill="1" applyBorder="1" applyAlignment="1">
      <alignment horizontal="center" vertical="center"/>
    </xf>
    <xf numFmtId="165" fontId="24" fillId="6" borderId="16" xfId="1" applyNumberFormat="1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20" fillId="0" borderId="23" xfId="0" applyFont="1" applyFill="1" applyBorder="1" applyAlignment="1">
      <alignment horizontal="center" vertical="center"/>
    </xf>
    <xf numFmtId="166" fontId="21" fillId="4" borderId="23" xfId="0" applyNumberFormat="1" applyFont="1" applyFill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20" fillId="4" borderId="24" xfId="0" applyFont="1" applyFill="1" applyBorder="1" applyAlignment="1">
      <alignment horizontal="center" vertical="center"/>
    </xf>
    <xf numFmtId="166" fontId="21" fillId="4" borderId="25" xfId="0" applyNumberFormat="1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0" fillId="4" borderId="22" xfId="0" applyFont="1" applyFill="1" applyBorder="1" applyAlignment="1">
      <alignment horizontal="center" vertical="center"/>
    </xf>
    <xf numFmtId="0" fontId="0" fillId="4" borderId="23" xfId="0" applyFont="1" applyFill="1" applyBorder="1" applyAlignment="1">
      <alignment horizontal="center" vertical="center"/>
    </xf>
    <xf numFmtId="0" fontId="0" fillId="4" borderId="24" xfId="0" applyFont="1" applyFill="1" applyBorder="1" applyAlignment="1">
      <alignment horizontal="center" vertical="center"/>
    </xf>
    <xf numFmtId="166" fontId="21" fillId="6" borderId="25" xfId="0" applyNumberFormat="1" applyFont="1" applyFill="1" applyBorder="1" applyAlignment="1">
      <alignment horizontal="center" vertical="center"/>
    </xf>
    <xf numFmtId="166" fontId="22" fillId="6" borderId="22" xfId="0" applyNumberFormat="1" applyFont="1" applyFill="1" applyBorder="1" applyAlignment="1">
      <alignment horizontal="center" vertical="center"/>
    </xf>
    <xf numFmtId="166" fontId="21" fillId="6" borderId="23" xfId="0" applyNumberFormat="1" applyFont="1" applyFill="1" applyBorder="1" applyAlignment="1">
      <alignment horizontal="center" vertical="center"/>
    </xf>
    <xf numFmtId="166" fontId="21" fillId="7" borderId="23" xfId="0" applyNumberFormat="1" applyFont="1" applyFill="1" applyBorder="1" applyAlignment="1">
      <alignment horizontal="center" vertical="center"/>
    </xf>
    <xf numFmtId="166" fontId="21" fillId="7" borderId="24" xfId="0" applyNumberFormat="1" applyFont="1" applyFill="1" applyBorder="1" applyAlignment="1">
      <alignment horizontal="center" vertical="center"/>
    </xf>
    <xf numFmtId="0" fontId="0" fillId="4" borderId="17" xfId="0" quotePrefix="1" applyFont="1" applyFill="1" applyBorder="1" applyAlignment="1">
      <alignment horizontal="left" vertical="center"/>
    </xf>
    <xf numFmtId="0" fontId="0" fillId="4" borderId="18" xfId="0" quotePrefix="1" applyFont="1" applyFill="1" applyBorder="1" applyAlignment="1">
      <alignment horizontal="center" vertical="center"/>
    </xf>
    <xf numFmtId="0" fontId="7" fillId="4" borderId="18" xfId="0" quotePrefix="1" applyFont="1" applyFill="1" applyBorder="1" applyAlignment="1">
      <alignment horizontal="center" vertical="center"/>
    </xf>
    <xf numFmtId="0" fontId="7" fillId="4" borderId="18" xfId="0" applyFont="1" applyFill="1" applyBorder="1" applyAlignment="1">
      <alignment horizontal="center" vertical="center"/>
    </xf>
    <xf numFmtId="0" fontId="13" fillId="4" borderId="18" xfId="1" quotePrefix="1" applyFont="1" applyFill="1" applyBorder="1" applyAlignment="1">
      <alignment horizontal="center" vertical="center"/>
    </xf>
    <xf numFmtId="165" fontId="12" fillId="4" borderId="18" xfId="0" applyNumberFormat="1" applyFont="1" applyFill="1" applyBorder="1" applyAlignment="1">
      <alignment horizontal="center" vertical="center"/>
    </xf>
    <xf numFmtId="165" fontId="12" fillId="0" borderId="18" xfId="0" applyNumberFormat="1" applyFont="1" applyBorder="1" applyAlignment="1">
      <alignment horizontal="center" vertical="center"/>
    </xf>
    <xf numFmtId="0" fontId="20" fillId="4" borderId="26" xfId="0" applyFont="1" applyFill="1" applyBorder="1" applyAlignment="1">
      <alignment horizontal="center" vertical="center"/>
    </xf>
    <xf numFmtId="0" fontId="25" fillId="7" borderId="11" xfId="0" quotePrefix="1" applyFont="1" applyFill="1" applyBorder="1" applyAlignment="1">
      <alignment horizontal="center" vertical="center"/>
    </xf>
    <xf numFmtId="0" fontId="25" fillId="7" borderId="14" xfId="0" quotePrefix="1" applyFont="1" applyFill="1" applyBorder="1" applyAlignment="1">
      <alignment horizontal="center" vertical="center"/>
    </xf>
    <xf numFmtId="165" fontId="14" fillId="0" borderId="11" xfId="0" applyNumberFormat="1" applyFont="1" applyFill="1" applyBorder="1" applyAlignment="1">
      <alignment horizontal="center" vertical="center"/>
    </xf>
    <xf numFmtId="165" fontId="26" fillId="0" borderId="18" xfId="0" applyNumberFormat="1" applyFont="1" applyBorder="1" applyAlignment="1">
      <alignment horizontal="center" vertical="center"/>
    </xf>
    <xf numFmtId="0" fontId="11" fillId="4" borderId="11" xfId="1" quotePrefix="1" applyFill="1" applyBorder="1" applyAlignment="1">
      <alignment horizontal="center" vertical="center"/>
    </xf>
    <xf numFmtId="0" fontId="0" fillId="0" borderId="1" xfId="0" applyBorder="1"/>
    <xf numFmtId="0" fontId="27" fillId="0" borderId="2" xfId="0" applyFont="1" applyBorder="1"/>
    <xf numFmtId="0" fontId="0" fillId="0" borderId="2" xfId="0" applyBorder="1"/>
    <xf numFmtId="0" fontId="0" fillId="0" borderId="21" xfId="0" applyBorder="1"/>
    <xf numFmtId="164" fontId="0" fillId="0" borderId="2" xfId="0" applyNumberFormat="1" applyBorder="1"/>
    <xf numFmtId="164" fontId="0" fillId="0" borderId="21" xfId="0" applyNumberFormat="1" applyBorder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9" fillId="0" borderId="20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AC0603JR-0710KL_C140867.html" TargetMode="External"/><Relationship Id="rId13" Type="http://schemas.openxmlformats.org/officeDocument/2006/relationships/hyperlink" Target="https://www.lcsc.com/product-detail/Chip-Resistor-Surface-Mount_YAGEO-RC0603FR-0749K9L_C114624.html" TargetMode="External"/><Relationship Id="rId18" Type="http://schemas.openxmlformats.org/officeDocument/2006/relationships/hyperlink" Target="https://www.lcsc.com/product-detail/Chip-span-style-background-color-ff0-Resistor-span-Surface-Mount_YAGEO-RL2512FK-070R075L_C705611.html" TargetMode="External"/><Relationship Id="rId26" Type="http://schemas.openxmlformats.org/officeDocument/2006/relationships/hyperlink" Target="https://www.alibaba.com/product-detail/Hot-Selling-Electronic-Components-Wire-Header_1600281233933.html?spm=a2700.galleryofferlist.normal_offer.d_title.1aaf6ed9kHLB9X" TargetMode="External"/><Relationship Id="rId3" Type="http://schemas.openxmlformats.org/officeDocument/2006/relationships/hyperlink" Target="https://www.lcsc.com/product-detail/Aluminum-Electrolytic-Capacitors-SMD_Honor-Elec-RVT1E100M0405_C3343.html" TargetMode="External"/><Relationship Id="rId21" Type="http://schemas.openxmlformats.org/officeDocument/2006/relationships/hyperlink" Target="https://lcsc.com/product-detail/Multilayer-Ceramic-Capacitors-MLCC-SMD-SMT_PSA-Prosperity-Dielectrics-FN18N100J500PSG_C525235.html" TargetMode="External"/><Relationship Id="rId7" Type="http://schemas.openxmlformats.org/officeDocument/2006/relationships/hyperlink" Target="https://www.lcsc.com/product-detail/Schottky-Barrier-Diodes-SBD_Tak-Cheong-MSK4010_C968723.html" TargetMode="External"/><Relationship Id="rId12" Type="http://schemas.openxmlformats.org/officeDocument/2006/relationships/hyperlink" Target="https://www.lcsc.com/product-detail/Chip-Resistor-Surface-Mount_UNI-ROYAL-Uniroyal-Elec-0805W8F9001T5E_C247026.html" TargetMode="External"/><Relationship Id="rId17" Type="http://schemas.openxmlformats.org/officeDocument/2006/relationships/hyperlink" Target="https://www.lcsc.com/product-detail/Multilayer-Ceramic-Capacitors-MLCC-SMD-SMT_Taiyo-Yuden-UMK107BBJ225KA-T_C268016.html" TargetMode="External"/><Relationship Id="rId25" Type="http://schemas.openxmlformats.org/officeDocument/2006/relationships/hyperlink" Target="https://lcsc.com/product-detail/Pin-Headers_BOOMELE-Boom-Precision-Elec-C37208_C37208.html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www.lcsc.com/product-detail/Multilayer-Ceramic-Capacitors-MLCC-SMD-SMT_Samsung-Electro-Mechanics-CL10B223KB8NNNC_C21122.html" TargetMode="External"/><Relationship Id="rId20" Type="http://schemas.openxmlformats.org/officeDocument/2006/relationships/hyperlink" Target="https://lcsc.com/product-detail/old-batch_Murata-Electronics-GCM21BC72A105KE36L_C2842838.html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Schottky-Barrier-Diodes-SBD_Nexperia-PMEG3030EP-115_C255587.html" TargetMode="External"/><Relationship Id="rId11" Type="http://schemas.openxmlformats.org/officeDocument/2006/relationships/hyperlink" Target="https://www.lcsc.com/product-detail/Chip-Resistor-Surface-Mount_RALEC-RTT25R18JTE_C159165.html" TargetMode="External"/><Relationship Id="rId24" Type="http://schemas.openxmlformats.org/officeDocument/2006/relationships/hyperlink" Target="https://lcsc.com/product-detail/MOSFETs_Infineon-Technologies-IRLML2502TRPBF_C2589.html" TargetMode="External"/><Relationship Id="rId5" Type="http://schemas.openxmlformats.org/officeDocument/2006/relationships/hyperlink" Target="https://www.lcsc.com/product-detail/Multilayer-Ceramic-Capacitors-MLCC-SMD-SMT_YAGEO-CC1206KKX7RDBB102_C23631.html" TargetMode="External"/><Relationship Id="rId15" Type="http://schemas.openxmlformats.org/officeDocument/2006/relationships/hyperlink" Target="https://www.lcsc.com/product-detail/Linear-Voltage-Regulators-LDO_Diodes-Incorporated-AZ1117CH-3-3TRG1_C92102.html" TargetMode="External"/><Relationship Id="rId23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lcsc.com/product-detail/Multilayer-Ceramic-Capacitors-MLCC-SMD-SMT_YAGEO-CC0603KRX7R0BB104_C113803.html" TargetMode="External"/><Relationship Id="rId4" Type="http://schemas.openxmlformats.org/officeDocument/2006/relationships/hyperlink" Target="https://www.lcsc.com/product-detail/Tantalum-Capacitors_CEC-Shenzhen-Zhenhua-XinYun-Elec-CA45A-A-10V-22uF-K_C141745.html" TargetMode="External"/><Relationship Id="rId9" Type="http://schemas.openxmlformats.org/officeDocument/2006/relationships/hyperlink" Target="https://www.lcsc.com/product-detail/Chip-Resistor-Surface-Mount_YAGEO-RC0603JR-07330RL_C105879.html" TargetMode="External"/><Relationship Id="rId14" Type="http://schemas.openxmlformats.org/officeDocument/2006/relationships/hyperlink" Target="https://www.lcsc.com/product-detail/DC-DC-Converters_XLSEMI-XL4001E1_C73347.html" TargetMode="External"/><Relationship Id="rId22" Type="http://schemas.openxmlformats.org/officeDocument/2006/relationships/hyperlink" Target="https://tr.aliexpress.com/item/32814431059.html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"/>
  <sheetViews>
    <sheetView tabSelected="1" topLeftCell="J19" zoomScale="85" zoomScaleNormal="85" workbookViewId="0">
      <selection activeCell="V38" sqref="V38"/>
    </sheetView>
  </sheetViews>
  <sheetFormatPr defaultColWidth="9" defaultRowHeight="15"/>
  <cols>
    <col min="1" max="1" width="6.140625" style="2" customWidth="1"/>
    <col min="2" max="2" width="14.42578125" customWidth="1"/>
    <col min="3" max="3" width="62.140625" customWidth="1"/>
    <col min="4" max="4" width="34.7109375" customWidth="1"/>
    <col min="5" max="5" width="21" customWidth="1"/>
    <col min="6" max="6" width="29" customWidth="1"/>
    <col min="7" max="7" width="26.28515625" customWidth="1"/>
    <col min="8" max="8" width="15.28515625" style="2" customWidth="1"/>
    <col min="9" max="9" width="21.5703125" customWidth="1"/>
    <col min="10" max="10" width="7" customWidth="1"/>
    <col min="11" max="11" width="18.85546875" bestFit="1" customWidth="1"/>
    <col min="12" max="12" width="17.5703125" bestFit="1" customWidth="1"/>
    <col min="13" max="13" width="21.85546875" customWidth="1"/>
    <col min="14" max="14" width="14.140625" customWidth="1"/>
    <col min="15" max="15" width="15.42578125" bestFit="1" customWidth="1"/>
    <col min="16" max="16" width="16.28515625" customWidth="1"/>
    <col min="17" max="17" width="12.7109375" customWidth="1"/>
    <col min="18" max="19" width="14.28515625" customWidth="1"/>
    <col min="20" max="20" width="16.5703125" bestFit="1" customWidth="1"/>
    <col min="21" max="21" width="16.5703125" customWidth="1"/>
    <col min="22" max="22" width="18" bestFit="1" customWidth="1"/>
    <col min="23" max="23" width="14.140625" customWidth="1"/>
  </cols>
  <sheetData>
    <row r="1" spans="1:39" ht="16.5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1"/>
    </row>
    <row r="2" spans="1:39" s="1" customFormat="1" ht="16.5" thickBot="1">
      <c r="A2" s="3" t="s">
        <v>1</v>
      </c>
      <c r="B2" s="4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123" t="s">
        <v>217</v>
      </c>
      <c r="L2" s="123" t="s">
        <v>216</v>
      </c>
      <c r="M2" s="4" t="s">
        <v>11</v>
      </c>
      <c r="N2" s="123" t="s">
        <v>208</v>
      </c>
      <c r="O2" s="123" t="s">
        <v>210</v>
      </c>
      <c r="P2" s="34" t="s">
        <v>12</v>
      </c>
      <c r="Q2" s="35" t="s">
        <v>13</v>
      </c>
      <c r="R2" s="35" t="s">
        <v>14</v>
      </c>
      <c r="S2" s="125" t="s">
        <v>209</v>
      </c>
      <c r="T2" s="123" t="s">
        <v>211</v>
      </c>
      <c r="U2" s="125" t="s">
        <v>212</v>
      </c>
      <c r="V2" s="123" t="s">
        <v>213</v>
      </c>
      <c r="W2" s="4" t="s">
        <v>15</v>
      </c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</row>
    <row r="3" spans="1:39" ht="15.75" thickBot="1">
      <c r="A3" s="6">
        <v>1</v>
      </c>
      <c r="B3" s="184" t="s">
        <v>16</v>
      </c>
      <c r="C3" s="76" t="s">
        <v>17</v>
      </c>
      <c r="D3" s="7" t="s">
        <v>18</v>
      </c>
      <c r="E3" s="77" t="s">
        <v>19</v>
      </c>
      <c r="F3" s="78" t="s">
        <v>20</v>
      </c>
      <c r="G3" s="77" t="s">
        <v>21</v>
      </c>
      <c r="H3" s="10" t="s">
        <v>22</v>
      </c>
      <c r="I3" s="79" t="s">
        <v>23</v>
      </c>
      <c r="J3" s="77" t="s">
        <v>24</v>
      </c>
      <c r="K3" s="22">
        <v>2300</v>
      </c>
      <c r="L3" s="77">
        <v>4200</v>
      </c>
      <c r="M3" s="8">
        <v>4</v>
      </c>
      <c r="N3" s="124">
        <f>M3*500</f>
        <v>2000</v>
      </c>
      <c r="O3" s="124">
        <f>M3*1000</f>
        <v>4000</v>
      </c>
      <c r="P3" s="36" t="s">
        <v>25</v>
      </c>
      <c r="Q3" s="37">
        <v>7.9000000000000008E-3</v>
      </c>
      <c r="R3" s="37">
        <f>Q3*M3</f>
        <v>3.1600000000000003E-2</v>
      </c>
      <c r="S3" s="37">
        <v>5.4000000000000003E-3</v>
      </c>
      <c r="T3" s="129">
        <f>S3*K3</f>
        <v>12.42</v>
      </c>
      <c r="U3" s="65">
        <v>5.4000000000000003E-3</v>
      </c>
      <c r="V3" s="129">
        <f>U3*L3</f>
        <v>22.68</v>
      </c>
      <c r="W3" s="144"/>
    </row>
    <row r="4" spans="1:39" ht="15.75" thickBot="1">
      <c r="A4" s="6">
        <v>2</v>
      </c>
      <c r="B4" s="185"/>
      <c r="C4" s="80" t="s">
        <v>26</v>
      </c>
      <c r="D4" s="81" t="s">
        <v>27</v>
      </c>
      <c r="E4" s="82" t="s">
        <v>28</v>
      </c>
      <c r="F4" s="81" t="s">
        <v>29</v>
      </c>
      <c r="G4" s="82" t="s">
        <v>30</v>
      </c>
      <c r="H4" s="13" t="s">
        <v>31</v>
      </c>
      <c r="I4" s="83" t="s">
        <v>23</v>
      </c>
      <c r="J4" s="82" t="s">
        <v>32</v>
      </c>
      <c r="K4" s="15">
        <v>550</v>
      </c>
      <c r="L4" s="82">
        <v>1100</v>
      </c>
      <c r="M4" s="12">
        <v>1</v>
      </c>
      <c r="N4" s="15">
        <f t="shared" ref="N4:N33" si="0">M4*500</f>
        <v>500</v>
      </c>
      <c r="O4" s="15">
        <f t="shared" ref="O4:O33" si="1">M4*1000</f>
        <v>1000</v>
      </c>
      <c r="P4" s="38" t="s">
        <v>25</v>
      </c>
      <c r="Q4" s="39">
        <v>6.8199999999999997E-2</v>
      </c>
      <c r="R4" s="39">
        <f t="shared" ref="R4:R28" si="2">Q4*M4</f>
        <v>6.8199999999999997E-2</v>
      </c>
      <c r="S4" s="39">
        <v>6.8199999999999997E-2</v>
      </c>
      <c r="T4" s="66">
        <f>S4*K4</f>
        <v>37.51</v>
      </c>
      <c r="U4" s="66">
        <v>6.8199999999999997E-2</v>
      </c>
      <c r="V4" s="66">
        <f>U4*L4</f>
        <v>75.02</v>
      </c>
      <c r="W4" s="145"/>
    </row>
    <row r="5" spans="1:39" ht="15.75" thickBot="1">
      <c r="A5" s="6">
        <v>3</v>
      </c>
      <c r="B5" s="185"/>
      <c r="C5" s="80" t="s">
        <v>33</v>
      </c>
      <c r="D5" s="81" t="s">
        <v>34</v>
      </c>
      <c r="E5" s="82" t="s">
        <v>19</v>
      </c>
      <c r="F5" s="84" t="s">
        <v>35</v>
      </c>
      <c r="G5" s="82" t="s">
        <v>36</v>
      </c>
      <c r="H5" s="14" t="s">
        <v>37</v>
      </c>
      <c r="I5" s="14" t="s">
        <v>38</v>
      </c>
      <c r="J5" s="82" t="s">
        <v>39</v>
      </c>
      <c r="K5" s="15">
        <v>4100</v>
      </c>
      <c r="L5" s="82">
        <v>8200</v>
      </c>
      <c r="M5" s="12">
        <v>8</v>
      </c>
      <c r="N5" s="15">
        <f t="shared" si="0"/>
        <v>4000</v>
      </c>
      <c r="O5" s="15">
        <f t="shared" si="1"/>
        <v>8000</v>
      </c>
      <c r="P5" s="40" t="s">
        <v>25</v>
      </c>
      <c r="Q5" s="39">
        <v>3.0999999999999999E-3</v>
      </c>
      <c r="R5" s="39">
        <f t="shared" si="2"/>
        <v>2.4799999999999999E-2</v>
      </c>
      <c r="S5" s="39">
        <v>2.0999999999999999E-3</v>
      </c>
      <c r="T5" s="66">
        <f>S5*K5</f>
        <v>8.61</v>
      </c>
      <c r="U5" s="66">
        <v>2.0999999999999999E-3</v>
      </c>
      <c r="V5" s="66">
        <f>U5*L5</f>
        <v>17.22</v>
      </c>
      <c r="W5" s="145"/>
    </row>
    <row r="6" spans="1:39" ht="15.75" thickBot="1">
      <c r="A6" s="6">
        <v>4</v>
      </c>
      <c r="B6" s="185"/>
      <c r="C6" s="85" t="s">
        <v>40</v>
      </c>
      <c r="D6" s="81" t="s">
        <v>41</v>
      </c>
      <c r="E6" s="86" t="s">
        <v>19</v>
      </c>
      <c r="F6" s="84" t="s">
        <v>42</v>
      </c>
      <c r="G6" s="87" t="s">
        <v>43</v>
      </c>
      <c r="H6" s="17" t="s">
        <v>44</v>
      </c>
      <c r="I6" s="81" t="s">
        <v>45</v>
      </c>
      <c r="J6" s="86" t="s">
        <v>46</v>
      </c>
      <c r="K6" s="86">
        <v>1600</v>
      </c>
      <c r="L6" s="15">
        <v>3200</v>
      </c>
      <c r="M6" s="16">
        <v>3</v>
      </c>
      <c r="N6" s="15">
        <f t="shared" si="0"/>
        <v>1500</v>
      </c>
      <c r="O6" s="15">
        <f t="shared" si="1"/>
        <v>3000</v>
      </c>
      <c r="P6" s="88" t="s">
        <v>25</v>
      </c>
      <c r="Q6" s="39">
        <v>5.3E-3</v>
      </c>
      <c r="R6" s="39">
        <f t="shared" si="2"/>
        <v>1.5900000000000001E-2</v>
      </c>
      <c r="S6" s="39">
        <v>3.8E-3</v>
      </c>
      <c r="T6" s="66">
        <f t="shared" ref="T6:T30" si="3">S6*K6</f>
        <v>6.08</v>
      </c>
      <c r="U6" s="66">
        <v>3.8E-3</v>
      </c>
      <c r="V6" s="66">
        <f>U6*L6</f>
        <v>12.16</v>
      </c>
      <c r="W6" s="145"/>
    </row>
    <row r="7" spans="1:39" ht="15.75" thickBot="1">
      <c r="A7" s="6">
        <v>5</v>
      </c>
      <c r="B7" s="185"/>
      <c r="C7" s="85" t="s">
        <v>47</v>
      </c>
      <c r="D7" s="81" t="s">
        <v>48</v>
      </c>
      <c r="E7" s="86" t="s">
        <v>19</v>
      </c>
      <c r="F7" s="84" t="s">
        <v>49</v>
      </c>
      <c r="G7" s="87" t="s">
        <v>50</v>
      </c>
      <c r="H7" s="17" t="s">
        <v>51</v>
      </c>
      <c r="I7" s="17" t="s">
        <v>52</v>
      </c>
      <c r="J7" s="86" t="s">
        <v>53</v>
      </c>
      <c r="K7" s="86">
        <v>550</v>
      </c>
      <c r="L7" s="15">
        <v>1100</v>
      </c>
      <c r="M7" s="16">
        <v>1</v>
      </c>
      <c r="N7" s="15">
        <f t="shared" si="0"/>
        <v>500</v>
      </c>
      <c r="O7" s="15">
        <f t="shared" si="1"/>
        <v>1000</v>
      </c>
      <c r="P7" s="88" t="s">
        <v>25</v>
      </c>
      <c r="Q7" s="41">
        <v>3.9199999999999999E-2</v>
      </c>
      <c r="R7" s="39">
        <f t="shared" si="2"/>
        <v>3.9199999999999999E-2</v>
      </c>
      <c r="S7" s="39">
        <v>2.9100000000000001E-2</v>
      </c>
      <c r="T7" s="66">
        <f t="shared" si="3"/>
        <v>16.004999999999999</v>
      </c>
      <c r="U7" s="66">
        <v>2.4400000000000002E-2</v>
      </c>
      <c r="V7" s="66">
        <f t="shared" ref="V7:V24" si="4">U7*L7</f>
        <v>26.840000000000003</v>
      </c>
      <c r="W7" s="145"/>
    </row>
    <row r="8" spans="1:39" ht="15.75" thickBot="1">
      <c r="A8" s="6">
        <v>6</v>
      </c>
      <c r="B8" s="185"/>
      <c r="C8" s="85" t="s">
        <v>54</v>
      </c>
      <c r="D8" s="81" t="s">
        <v>55</v>
      </c>
      <c r="E8" s="86" t="s">
        <v>56</v>
      </c>
      <c r="F8" s="81" t="s">
        <v>57</v>
      </c>
      <c r="G8" s="87" t="s">
        <v>58</v>
      </c>
      <c r="H8" s="17" t="s">
        <v>59</v>
      </c>
      <c r="I8" s="83" t="s">
        <v>23</v>
      </c>
      <c r="J8" s="86" t="s">
        <v>60</v>
      </c>
      <c r="K8" s="86">
        <v>550</v>
      </c>
      <c r="L8" s="15">
        <v>1100</v>
      </c>
      <c r="M8" s="42">
        <v>1</v>
      </c>
      <c r="N8" s="15">
        <f t="shared" si="0"/>
        <v>500</v>
      </c>
      <c r="O8" s="15">
        <f t="shared" si="1"/>
        <v>1000</v>
      </c>
      <c r="P8" s="89" t="s">
        <v>25</v>
      </c>
      <c r="Q8" s="63">
        <v>7.5999999999999998E-2</v>
      </c>
      <c r="R8" s="39">
        <f t="shared" si="2"/>
        <v>7.5999999999999998E-2</v>
      </c>
      <c r="S8" s="39">
        <v>5.2400000000000002E-2</v>
      </c>
      <c r="T8" s="66">
        <f t="shared" si="3"/>
        <v>28.82</v>
      </c>
      <c r="U8" s="66">
        <v>5.2400000000000002E-2</v>
      </c>
      <c r="V8" s="66">
        <f t="shared" si="4"/>
        <v>57.64</v>
      </c>
      <c r="W8" s="146"/>
    </row>
    <row r="9" spans="1:39" ht="15.75" thickBot="1">
      <c r="A9" s="6">
        <v>7</v>
      </c>
      <c r="B9" s="185"/>
      <c r="C9" s="85" t="s">
        <v>61</v>
      </c>
      <c r="D9" s="81" t="s">
        <v>62</v>
      </c>
      <c r="E9" s="86" t="s">
        <v>56</v>
      </c>
      <c r="F9" s="81" t="s">
        <v>63</v>
      </c>
      <c r="G9" s="87" t="s">
        <v>58</v>
      </c>
      <c r="H9" s="17" t="s">
        <v>64</v>
      </c>
      <c r="I9" s="83" t="s">
        <v>23</v>
      </c>
      <c r="J9" s="86" t="s">
        <v>60</v>
      </c>
      <c r="K9" s="86">
        <v>1050</v>
      </c>
      <c r="L9" s="15">
        <v>2100</v>
      </c>
      <c r="M9" s="42">
        <v>2</v>
      </c>
      <c r="N9" s="15">
        <f t="shared" si="0"/>
        <v>1000</v>
      </c>
      <c r="O9" s="15">
        <f t="shared" si="1"/>
        <v>2000</v>
      </c>
      <c r="P9" s="89" t="s">
        <v>25</v>
      </c>
      <c r="Q9" s="63">
        <v>0.18110000000000001</v>
      </c>
      <c r="R9" s="39">
        <f t="shared" si="2"/>
        <v>0.36220000000000002</v>
      </c>
      <c r="S9" s="39">
        <v>0.1241</v>
      </c>
      <c r="T9" s="66">
        <f t="shared" si="3"/>
        <v>130.30500000000001</v>
      </c>
      <c r="U9" s="66">
        <v>0.1241</v>
      </c>
      <c r="V9" s="66">
        <f t="shared" si="4"/>
        <v>260.61</v>
      </c>
      <c r="W9" s="146"/>
      <c r="X9" s="67"/>
    </row>
    <row r="10" spans="1:39" ht="15.75" thickBot="1">
      <c r="A10" s="6">
        <v>8</v>
      </c>
      <c r="B10" s="185"/>
      <c r="C10" s="85" t="s">
        <v>65</v>
      </c>
      <c r="D10" s="81" t="s">
        <v>66</v>
      </c>
      <c r="E10" s="86" t="s">
        <v>56</v>
      </c>
      <c r="F10" s="81" t="s">
        <v>67</v>
      </c>
      <c r="G10" s="87" t="s">
        <v>68</v>
      </c>
      <c r="H10" s="17" t="s">
        <v>69</v>
      </c>
      <c r="I10" s="83" t="s">
        <v>23</v>
      </c>
      <c r="J10" s="86" t="s">
        <v>70</v>
      </c>
      <c r="K10" s="86">
        <v>560</v>
      </c>
      <c r="L10" s="15">
        <v>1100</v>
      </c>
      <c r="M10" s="16">
        <v>1</v>
      </c>
      <c r="N10" s="15">
        <f t="shared" si="0"/>
        <v>500</v>
      </c>
      <c r="O10" s="15">
        <f t="shared" si="1"/>
        <v>1000</v>
      </c>
      <c r="P10" s="88" t="s">
        <v>25</v>
      </c>
      <c r="Q10" s="39">
        <v>3.5200000000000002E-2</v>
      </c>
      <c r="R10" s="39">
        <f t="shared" si="2"/>
        <v>3.5200000000000002E-2</v>
      </c>
      <c r="S10" s="39">
        <v>2.81E-2</v>
      </c>
      <c r="T10" s="66">
        <f t="shared" si="3"/>
        <v>15.736000000000001</v>
      </c>
      <c r="U10" s="66">
        <v>2.6800000000000001E-2</v>
      </c>
      <c r="V10" s="66">
        <f t="shared" si="4"/>
        <v>29.48</v>
      </c>
      <c r="W10" s="145"/>
      <c r="X10" s="67"/>
    </row>
    <row r="11" spans="1:39" ht="15.75" thickBot="1">
      <c r="A11" s="6">
        <v>9</v>
      </c>
      <c r="B11" s="185"/>
      <c r="C11" s="85" t="s">
        <v>71</v>
      </c>
      <c r="D11" s="81" t="s">
        <v>72</v>
      </c>
      <c r="E11" s="86" t="s">
        <v>73</v>
      </c>
      <c r="F11" s="81" t="s">
        <v>74</v>
      </c>
      <c r="G11" s="87" t="s">
        <v>75</v>
      </c>
      <c r="H11" s="17" t="s">
        <v>76</v>
      </c>
      <c r="I11" s="83" t="s">
        <v>23</v>
      </c>
      <c r="J11" s="86" t="s">
        <v>77</v>
      </c>
      <c r="K11" s="86">
        <v>550</v>
      </c>
      <c r="L11" s="15">
        <v>1100</v>
      </c>
      <c r="M11" s="16">
        <v>1</v>
      </c>
      <c r="N11" s="15">
        <f t="shared" si="0"/>
        <v>500</v>
      </c>
      <c r="O11" s="15">
        <f t="shared" si="1"/>
        <v>1000</v>
      </c>
      <c r="P11" s="88" t="s">
        <v>25</v>
      </c>
      <c r="Q11" s="39">
        <v>9.5799999999999996E-2</v>
      </c>
      <c r="R11" s="39">
        <f t="shared" si="2"/>
        <v>9.5799999999999996E-2</v>
      </c>
      <c r="S11" s="39">
        <v>6.25E-2</v>
      </c>
      <c r="T11" s="66">
        <f t="shared" si="3"/>
        <v>34.375</v>
      </c>
      <c r="U11" s="66">
        <v>6.25E-2</v>
      </c>
      <c r="V11" s="66">
        <f t="shared" si="4"/>
        <v>68.75</v>
      </c>
      <c r="W11" s="147"/>
      <c r="X11" s="68"/>
    </row>
    <row r="12" spans="1:39" ht="15.75" thickBot="1">
      <c r="A12" s="6">
        <v>10</v>
      </c>
      <c r="B12" s="186"/>
      <c r="C12" s="90" t="s">
        <v>78</v>
      </c>
      <c r="D12" s="91" t="s">
        <v>79</v>
      </c>
      <c r="E12" s="92" t="s">
        <v>80</v>
      </c>
      <c r="F12" s="91" t="s">
        <v>81</v>
      </c>
      <c r="G12" s="93" t="s">
        <v>82</v>
      </c>
      <c r="H12" s="21" t="s">
        <v>83</v>
      </c>
      <c r="I12" s="94" t="s">
        <v>23</v>
      </c>
      <c r="J12" s="92" t="s">
        <v>84</v>
      </c>
      <c r="K12" s="92">
        <v>550</v>
      </c>
      <c r="L12" s="19">
        <v>1100</v>
      </c>
      <c r="M12" s="20">
        <v>1</v>
      </c>
      <c r="N12" s="126">
        <f t="shared" si="0"/>
        <v>500</v>
      </c>
      <c r="O12" s="126">
        <f t="shared" si="1"/>
        <v>1000</v>
      </c>
      <c r="P12" s="95" t="s">
        <v>25</v>
      </c>
      <c r="Q12" s="43">
        <v>1.2699999999999999E-2</v>
      </c>
      <c r="R12" s="43">
        <f t="shared" si="2"/>
        <v>1.2699999999999999E-2</v>
      </c>
      <c r="S12" s="43">
        <v>9.7999999999999997E-3</v>
      </c>
      <c r="T12" s="70">
        <f t="shared" si="3"/>
        <v>5.39</v>
      </c>
      <c r="U12" s="69">
        <v>9.7999999999999997E-3</v>
      </c>
      <c r="V12" s="135">
        <f t="shared" si="4"/>
        <v>10.78</v>
      </c>
      <c r="W12" s="148"/>
      <c r="X12" s="67"/>
    </row>
    <row r="13" spans="1:39" ht="15.75" thickBot="1">
      <c r="A13" s="6">
        <v>11</v>
      </c>
      <c r="B13" s="184" t="s">
        <v>85</v>
      </c>
      <c r="C13" s="96" t="s">
        <v>86</v>
      </c>
      <c r="D13" s="78" t="s">
        <v>87</v>
      </c>
      <c r="E13" s="97" t="s">
        <v>88</v>
      </c>
      <c r="F13" s="78" t="s">
        <v>89</v>
      </c>
      <c r="G13" s="97" t="s">
        <v>90</v>
      </c>
      <c r="H13" s="23" t="s">
        <v>91</v>
      </c>
      <c r="I13" s="79" t="s">
        <v>23</v>
      </c>
      <c r="J13" s="98" t="s">
        <v>92</v>
      </c>
      <c r="K13" s="98">
        <v>550</v>
      </c>
      <c r="L13" s="22">
        <v>1100</v>
      </c>
      <c r="M13" s="44">
        <v>1</v>
      </c>
      <c r="N13" s="124">
        <f t="shared" si="0"/>
        <v>500</v>
      </c>
      <c r="O13" s="124">
        <f t="shared" si="1"/>
        <v>1000</v>
      </c>
      <c r="P13" s="99" t="s">
        <v>25</v>
      </c>
      <c r="Q13" s="37">
        <v>0.31719999999999998</v>
      </c>
      <c r="R13" s="37">
        <f t="shared" si="2"/>
        <v>0.31719999999999998</v>
      </c>
      <c r="S13" s="37">
        <v>0.1925</v>
      </c>
      <c r="T13" s="65">
        <f t="shared" si="3"/>
        <v>105.875</v>
      </c>
      <c r="U13" s="65">
        <v>0.18940000000000001</v>
      </c>
      <c r="V13" s="129">
        <f t="shared" si="4"/>
        <v>208.34</v>
      </c>
      <c r="W13" s="144"/>
      <c r="X13" s="67"/>
    </row>
    <row r="14" spans="1:39" ht="15.75" thickBot="1">
      <c r="A14" s="6">
        <v>12</v>
      </c>
      <c r="B14" s="186"/>
      <c r="C14" s="90" t="s">
        <v>93</v>
      </c>
      <c r="D14" s="91" t="s">
        <v>94</v>
      </c>
      <c r="E14" s="92" t="s">
        <v>95</v>
      </c>
      <c r="F14" s="91" t="s">
        <v>96</v>
      </c>
      <c r="G14" s="92" t="s">
        <v>97</v>
      </c>
      <c r="H14" s="94" t="s">
        <v>98</v>
      </c>
      <c r="I14" s="94" t="s">
        <v>23</v>
      </c>
      <c r="J14" s="93" t="s">
        <v>92</v>
      </c>
      <c r="K14" s="93">
        <v>560</v>
      </c>
      <c r="L14" s="19">
        <v>1100</v>
      </c>
      <c r="M14" s="45">
        <v>1</v>
      </c>
      <c r="N14" s="124">
        <f t="shared" si="0"/>
        <v>500</v>
      </c>
      <c r="O14" s="124">
        <f t="shared" si="1"/>
        <v>1000</v>
      </c>
      <c r="P14" s="95" t="s">
        <v>25</v>
      </c>
      <c r="Q14" s="46">
        <v>2.6599999999999999E-2</v>
      </c>
      <c r="R14" s="43">
        <f t="shared" si="2"/>
        <v>2.6599999999999999E-2</v>
      </c>
      <c r="S14" s="43">
        <v>2.0299999999999999E-2</v>
      </c>
      <c r="T14" s="65">
        <f t="shared" si="3"/>
        <v>11.367999999999999</v>
      </c>
      <c r="U14" s="69">
        <v>1.9099999999999999E-2</v>
      </c>
      <c r="V14" s="129">
        <f t="shared" si="4"/>
        <v>21.009999999999998</v>
      </c>
      <c r="W14" s="149"/>
      <c r="X14" s="67"/>
    </row>
    <row r="15" spans="1:39" ht="15.75" thickBot="1">
      <c r="A15" s="6">
        <v>13</v>
      </c>
      <c r="B15" s="121" t="s">
        <v>99</v>
      </c>
      <c r="C15" s="100" t="s">
        <v>100</v>
      </c>
      <c r="D15" s="101" t="s">
        <v>101</v>
      </c>
      <c r="E15" s="101" t="s">
        <v>102</v>
      </c>
      <c r="F15" s="101" t="s">
        <v>103</v>
      </c>
      <c r="G15" s="102" t="s">
        <v>104</v>
      </c>
      <c r="H15" s="102" t="s">
        <v>214</v>
      </c>
      <c r="I15" s="101" t="s">
        <v>23</v>
      </c>
      <c r="J15" s="102" t="s">
        <v>92</v>
      </c>
      <c r="K15" s="102">
        <v>550</v>
      </c>
      <c r="L15" s="24">
        <v>1100</v>
      </c>
      <c r="M15" s="24">
        <v>1</v>
      </c>
      <c r="N15" s="124">
        <f t="shared" si="0"/>
        <v>500</v>
      </c>
      <c r="O15" s="124">
        <f t="shared" si="1"/>
        <v>1000</v>
      </c>
      <c r="P15" s="103" t="s">
        <v>25</v>
      </c>
      <c r="Q15" s="47">
        <v>0.2127</v>
      </c>
      <c r="R15" s="48">
        <f t="shared" si="2"/>
        <v>0.2127</v>
      </c>
      <c r="S15" s="48">
        <v>0.1242</v>
      </c>
      <c r="T15" s="65">
        <f t="shared" si="3"/>
        <v>68.31</v>
      </c>
      <c r="U15" s="70">
        <v>0.122</v>
      </c>
      <c r="V15" s="129">
        <f t="shared" si="4"/>
        <v>134.19999999999999</v>
      </c>
      <c r="W15" s="150"/>
      <c r="X15" s="67"/>
    </row>
    <row r="16" spans="1:39" ht="15.75" thickBot="1">
      <c r="A16" s="6">
        <v>14</v>
      </c>
      <c r="B16" s="120" t="s">
        <v>105</v>
      </c>
      <c r="C16" s="104" t="s">
        <v>106</v>
      </c>
      <c r="D16" s="105" t="s">
        <v>107</v>
      </c>
      <c r="E16" s="105" t="s">
        <v>56</v>
      </c>
      <c r="F16" s="105" t="s">
        <v>108</v>
      </c>
      <c r="G16" s="105" t="s">
        <v>109</v>
      </c>
      <c r="H16" s="25"/>
      <c r="I16" s="25"/>
      <c r="J16" s="105" t="s">
        <v>92</v>
      </c>
      <c r="K16" s="105">
        <v>520</v>
      </c>
      <c r="L16" s="25">
        <v>1050</v>
      </c>
      <c r="M16" s="25">
        <v>1</v>
      </c>
      <c r="N16" s="124">
        <f t="shared" si="0"/>
        <v>500</v>
      </c>
      <c r="O16" s="124">
        <f t="shared" si="1"/>
        <v>1000</v>
      </c>
      <c r="P16" s="49" t="s">
        <v>110</v>
      </c>
      <c r="Q16" s="71">
        <v>2.54</v>
      </c>
      <c r="R16" s="50">
        <f t="shared" si="2"/>
        <v>2.54</v>
      </c>
      <c r="S16" s="71">
        <v>2.54</v>
      </c>
      <c r="T16" s="65">
        <f>S16*K16</f>
        <v>1320.8</v>
      </c>
      <c r="U16" s="71">
        <v>2.54</v>
      </c>
      <c r="V16" s="129">
        <f t="shared" si="4"/>
        <v>2667</v>
      </c>
      <c r="W16" s="151"/>
      <c r="X16" s="67"/>
    </row>
    <row r="17" spans="1:24" ht="15.75" thickBot="1">
      <c r="A17" s="6">
        <v>15</v>
      </c>
      <c r="B17" s="184" t="s">
        <v>111</v>
      </c>
      <c r="C17" s="106" t="s">
        <v>112</v>
      </c>
      <c r="D17" s="78" t="s">
        <v>113</v>
      </c>
      <c r="E17" s="78" t="s">
        <v>114</v>
      </c>
      <c r="F17" s="78" t="s">
        <v>115</v>
      </c>
      <c r="G17" s="79" t="s">
        <v>82</v>
      </c>
      <c r="H17" s="23" t="s">
        <v>116</v>
      </c>
      <c r="I17" s="78" t="s">
        <v>23</v>
      </c>
      <c r="J17" s="78" t="s">
        <v>117</v>
      </c>
      <c r="K17" s="78">
        <v>1100</v>
      </c>
      <c r="L17" s="9">
        <v>2200</v>
      </c>
      <c r="M17" s="9">
        <v>2</v>
      </c>
      <c r="N17" s="124">
        <f t="shared" si="0"/>
        <v>1000</v>
      </c>
      <c r="O17" s="124">
        <f t="shared" si="1"/>
        <v>2000</v>
      </c>
      <c r="P17" s="107" t="s">
        <v>25</v>
      </c>
      <c r="Q17" s="51">
        <v>1.4E-3</v>
      </c>
      <c r="R17" s="37">
        <f t="shared" si="2"/>
        <v>2.8E-3</v>
      </c>
      <c r="S17" s="37">
        <v>1.1000000000000001E-3</v>
      </c>
      <c r="T17" s="129">
        <f t="shared" si="3"/>
        <v>1.21</v>
      </c>
      <c r="U17" s="65">
        <v>1.1000000000000001E-3</v>
      </c>
      <c r="V17" s="129">
        <f t="shared" si="4"/>
        <v>2.42</v>
      </c>
      <c r="W17" s="152"/>
      <c r="X17" s="67"/>
    </row>
    <row r="18" spans="1:24" ht="15.75" thickBot="1">
      <c r="A18" s="6">
        <v>16</v>
      </c>
      <c r="B18" s="185"/>
      <c r="C18" s="108" t="s">
        <v>118</v>
      </c>
      <c r="D18" s="11" t="s">
        <v>119</v>
      </c>
      <c r="E18" s="81" t="s">
        <v>114</v>
      </c>
      <c r="F18" s="81" t="s">
        <v>120</v>
      </c>
      <c r="G18" s="83" t="s">
        <v>82</v>
      </c>
      <c r="H18" s="17" t="s">
        <v>121</v>
      </c>
      <c r="I18" s="81" t="s">
        <v>23</v>
      </c>
      <c r="J18" s="81" t="s">
        <v>122</v>
      </c>
      <c r="K18" s="81">
        <v>1100</v>
      </c>
      <c r="L18" s="11">
        <v>2200</v>
      </c>
      <c r="M18" s="11">
        <v>2</v>
      </c>
      <c r="N18" s="15">
        <f t="shared" si="0"/>
        <v>1000</v>
      </c>
      <c r="O18" s="15">
        <f t="shared" si="1"/>
        <v>2000</v>
      </c>
      <c r="P18" s="109" t="s">
        <v>25</v>
      </c>
      <c r="Q18" s="52">
        <v>1.4E-3</v>
      </c>
      <c r="R18" s="39">
        <f t="shared" si="2"/>
        <v>2.8E-3</v>
      </c>
      <c r="S18" s="39">
        <v>1.1000000000000001E-3</v>
      </c>
      <c r="T18" s="66">
        <f t="shared" si="3"/>
        <v>1.21</v>
      </c>
      <c r="U18" s="66">
        <v>1.1000000000000001E-3</v>
      </c>
      <c r="V18" s="66">
        <f t="shared" si="4"/>
        <v>2.42</v>
      </c>
      <c r="W18" s="153"/>
      <c r="X18" s="67"/>
    </row>
    <row r="19" spans="1:24" ht="15.75" thickBot="1">
      <c r="A19" s="6">
        <v>17</v>
      </c>
      <c r="B19" s="185"/>
      <c r="C19" s="108" t="s">
        <v>123</v>
      </c>
      <c r="D19" s="11" t="s">
        <v>124</v>
      </c>
      <c r="E19" s="81" t="s">
        <v>114</v>
      </c>
      <c r="F19" s="81" t="s">
        <v>125</v>
      </c>
      <c r="G19" s="83" t="s">
        <v>82</v>
      </c>
      <c r="H19" s="17" t="s">
        <v>126</v>
      </c>
      <c r="I19" s="81" t="s">
        <v>23</v>
      </c>
      <c r="J19" s="81" t="s">
        <v>127</v>
      </c>
      <c r="K19" s="81">
        <v>1600</v>
      </c>
      <c r="L19" s="11">
        <v>3200</v>
      </c>
      <c r="M19" s="11">
        <v>3</v>
      </c>
      <c r="N19" s="15">
        <f t="shared" si="0"/>
        <v>1500</v>
      </c>
      <c r="O19" s="15">
        <f t="shared" si="1"/>
        <v>3000</v>
      </c>
      <c r="P19" s="109" t="s">
        <v>25</v>
      </c>
      <c r="Q19" s="52">
        <v>1.4E-3</v>
      </c>
      <c r="R19" s="39">
        <f t="shared" si="2"/>
        <v>4.1999999999999997E-3</v>
      </c>
      <c r="S19" s="39">
        <v>8.9999999999999998E-4</v>
      </c>
      <c r="T19" s="66">
        <f t="shared" si="3"/>
        <v>1.44</v>
      </c>
      <c r="U19" s="66">
        <v>8.9999999999999998E-4</v>
      </c>
      <c r="V19" s="66">
        <f t="shared" si="4"/>
        <v>2.88</v>
      </c>
      <c r="W19" s="153"/>
      <c r="X19" s="67"/>
    </row>
    <row r="20" spans="1:24" ht="15.75" thickBot="1">
      <c r="A20" s="6">
        <v>18</v>
      </c>
      <c r="B20" s="185"/>
      <c r="C20" s="108" t="s">
        <v>128</v>
      </c>
      <c r="D20" s="81" t="s">
        <v>129</v>
      </c>
      <c r="E20" s="81" t="s">
        <v>130</v>
      </c>
      <c r="F20" s="81" t="s">
        <v>131</v>
      </c>
      <c r="G20" s="83" t="s">
        <v>132</v>
      </c>
      <c r="H20" s="17" t="s">
        <v>133</v>
      </c>
      <c r="I20" s="81" t="s">
        <v>23</v>
      </c>
      <c r="J20" s="81" t="s">
        <v>134</v>
      </c>
      <c r="K20" s="81">
        <v>1550</v>
      </c>
      <c r="L20" s="11">
        <v>3100</v>
      </c>
      <c r="M20" s="11">
        <v>2</v>
      </c>
      <c r="N20" s="15">
        <f t="shared" si="0"/>
        <v>1000</v>
      </c>
      <c r="O20" s="15">
        <f t="shared" si="1"/>
        <v>2000</v>
      </c>
      <c r="P20" s="109" t="s">
        <v>25</v>
      </c>
      <c r="Q20" s="53">
        <v>2.9499999999999998E-2</v>
      </c>
      <c r="R20" s="39">
        <f t="shared" si="2"/>
        <v>5.8999999999999997E-2</v>
      </c>
      <c r="S20" s="39">
        <v>2.0299999999999999E-2</v>
      </c>
      <c r="T20" s="66">
        <f t="shared" si="3"/>
        <v>31.464999999999996</v>
      </c>
      <c r="U20" s="66">
        <v>2.0299999999999999E-2</v>
      </c>
      <c r="V20" s="66">
        <f t="shared" si="4"/>
        <v>62.929999999999993</v>
      </c>
      <c r="W20" s="153"/>
      <c r="X20" s="67"/>
    </row>
    <row r="21" spans="1:24" ht="15.75" thickBot="1">
      <c r="A21" s="6">
        <v>19</v>
      </c>
      <c r="B21" s="185"/>
      <c r="C21" s="108" t="s">
        <v>135</v>
      </c>
      <c r="D21" s="81" t="s">
        <v>136</v>
      </c>
      <c r="E21" s="81" t="s">
        <v>130</v>
      </c>
      <c r="F21" s="84" t="s">
        <v>137</v>
      </c>
      <c r="G21" s="83" t="s">
        <v>138</v>
      </c>
      <c r="H21" s="17" t="s">
        <v>139</v>
      </c>
      <c r="I21" s="83" t="s">
        <v>140</v>
      </c>
      <c r="J21" s="81" t="s">
        <v>141</v>
      </c>
      <c r="K21" s="81">
        <v>530</v>
      </c>
      <c r="L21" s="11">
        <v>1050</v>
      </c>
      <c r="M21" s="11">
        <v>1</v>
      </c>
      <c r="N21" s="15">
        <f t="shared" si="0"/>
        <v>500</v>
      </c>
      <c r="O21" s="15">
        <f t="shared" si="1"/>
        <v>1000</v>
      </c>
      <c r="P21" s="109" t="s">
        <v>25</v>
      </c>
      <c r="Q21" s="52">
        <v>0.1133</v>
      </c>
      <c r="R21" s="39">
        <f t="shared" si="2"/>
        <v>0.1133</v>
      </c>
      <c r="S21" s="39">
        <v>7.7600000000000002E-2</v>
      </c>
      <c r="T21" s="66">
        <f t="shared" si="3"/>
        <v>41.128</v>
      </c>
      <c r="U21" s="66">
        <v>7.7600000000000002E-2</v>
      </c>
      <c r="V21" s="66">
        <f t="shared" si="4"/>
        <v>81.48</v>
      </c>
      <c r="W21" s="153"/>
      <c r="X21" s="67"/>
    </row>
    <row r="22" spans="1:24" ht="15.75" thickBot="1">
      <c r="A22" s="6">
        <v>20</v>
      </c>
      <c r="B22" s="185"/>
      <c r="C22" s="108" t="s">
        <v>142</v>
      </c>
      <c r="D22" s="81" t="s">
        <v>143</v>
      </c>
      <c r="E22" s="81" t="s">
        <v>28</v>
      </c>
      <c r="F22" s="81" t="s">
        <v>144</v>
      </c>
      <c r="G22" s="83" t="s">
        <v>145</v>
      </c>
      <c r="H22" s="17" t="s">
        <v>146</v>
      </c>
      <c r="I22" s="81" t="s">
        <v>23</v>
      </c>
      <c r="J22" s="81" t="s">
        <v>147</v>
      </c>
      <c r="K22" s="81">
        <v>600</v>
      </c>
      <c r="L22" s="11">
        <v>1100</v>
      </c>
      <c r="M22" s="11">
        <v>1</v>
      </c>
      <c r="N22" s="15">
        <f t="shared" si="0"/>
        <v>500</v>
      </c>
      <c r="O22" s="15">
        <f t="shared" si="1"/>
        <v>1000</v>
      </c>
      <c r="P22" s="109" t="s">
        <v>25</v>
      </c>
      <c r="Q22" s="52">
        <v>2.8E-3</v>
      </c>
      <c r="R22" s="39">
        <f t="shared" si="2"/>
        <v>2.8E-3</v>
      </c>
      <c r="S22" s="39">
        <v>2.8E-3</v>
      </c>
      <c r="T22" s="66">
        <f t="shared" si="3"/>
        <v>1.68</v>
      </c>
      <c r="U22" s="66">
        <v>2.2000000000000001E-3</v>
      </c>
      <c r="V22" s="66">
        <f t="shared" si="4"/>
        <v>2.42</v>
      </c>
      <c r="W22" s="153"/>
      <c r="X22" s="67"/>
    </row>
    <row r="23" spans="1:24" s="1" customFormat="1" ht="15.75" thickBot="1">
      <c r="A23" s="6">
        <v>21</v>
      </c>
      <c r="B23" s="186"/>
      <c r="C23" s="110" t="s">
        <v>148</v>
      </c>
      <c r="D23" s="18" t="s">
        <v>149</v>
      </c>
      <c r="E23" s="91" t="s">
        <v>114</v>
      </c>
      <c r="F23" s="91" t="s">
        <v>150</v>
      </c>
      <c r="G23" s="94" t="s">
        <v>82</v>
      </c>
      <c r="H23" s="21" t="s">
        <v>151</v>
      </c>
      <c r="I23" s="91" t="s">
        <v>23</v>
      </c>
      <c r="J23" s="91" t="s">
        <v>152</v>
      </c>
      <c r="K23" s="91">
        <v>4100</v>
      </c>
      <c r="L23" s="18">
        <v>8200</v>
      </c>
      <c r="M23" s="21">
        <v>8</v>
      </c>
      <c r="N23" s="126">
        <f t="shared" si="0"/>
        <v>4000</v>
      </c>
      <c r="O23" s="126">
        <f t="shared" si="1"/>
        <v>8000</v>
      </c>
      <c r="P23" s="54" t="s">
        <v>25</v>
      </c>
      <c r="Q23" s="46">
        <v>1.8E-3</v>
      </c>
      <c r="R23" s="43">
        <f t="shared" si="2"/>
        <v>1.44E-2</v>
      </c>
      <c r="S23" s="43">
        <v>1.1999999999999999E-3</v>
      </c>
      <c r="T23" s="70">
        <f t="shared" si="3"/>
        <v>4.92</v>
      </c>
      <c r="U23" s="69">
        <v>1.1999999999999999E-3</v>
      </c>
      <c r="V23" s="135">
        <f t="shared" si="4"/>
        <v>9.84</v>
      </c>
      <c r="W23" s="154"/>
      <c r="X23" s="72"/>
    </row>
    <row r="24" spans="1:24" ht="15.75" thickBot="1">
      <c r="A24" s="6">
        <v>22</v>
      </c>
      <c r="B24" s="185" t="s">
        <v>153</v>
      </c>
      <c r="C24" s="137" t="s">
        <v>154</v>
      </c>
      <c r="D24" s="138" t="s">
        <v>155</v>
      </c>
      <c r="E24" s="138" t="s">
        <v>156</v>
      </c>
      <c r="F24" s="138" t="s">
        <v>157</v>
      </c>
      <c r="G24" s="139" t="s">
        <v>158</v>
      </c>
      <c r="H24" s="139" t="s">
        <v>23</v>
      </c>
      <c r="I24" s="138" t="s">
        <v>23</v>
      </c>
      <c r="J24" s="139" t="s">
        <v>92</v>
      </c>
      <c r="K24" s="139">
        <v>520</v>
      </c>
      <c r="L24" s="140">
        <v>1040</v>
      </c>
      <c r="M24" s="140">
        <v>1</v>
      </c>
      <c r="N24" s="124">
        <f t="shared" si="0"/>
        <v>500</v>
      </c>
      <c r="O24" s="124">
        <f t="shared" si="1"/>
        <v>1000</v>
      </c>
      <c r="P24" s="143" t="s">
        <v>110</v>
      </c>
      <c r="Q24" s="142">
        <v>4.7619999999999996</v>
      </c>
      <c r="R24" s="141">
        <f t="shared" si="2"/>
        <v>4.7619999999999996</v>
      </c>
      <c r="S24" s="142">
        <v>4.7619999999999996</v>
      </c>
      <c r="T24" s="129">
        <f t="shared" si="3"/>
        <v>2476.2399999999998</v>
      </c>
      <c r="U24" s="142">
        <v>4.7619999999999996</v>
      </c>
      <c r="V24" s="129">
        <f t="shared" si="4"/>
        <v>4952.4799999999996</v>
      </c>
      <c r="W24" s="155" t="s">
        <v>159</v>
      </c>
      <c r="X24" s="67"/>
    </row>
    <row r="25" spans="1:24" ht="15.75" thickBot="1">
      <c r="A25" s="6">
        <v>23</v>
      </c>
      <c r="B25" s="185"/>
      <c r="C25" s="108" t="s">
        <v>160</v>
      </c>
      <c r="D25" s="81" t="s">
        <v>161</v>
      </c>
      <c r="E25" s="81" t="s">
        <v>162</v>
      </c>
      <c r="F25" s="81" t="s">
        <v>163</v>
      </c>
      <c r="G25" s="83" t="s">
        <v>164</v>
      </c>
      <c r="H25" s="17" t="s">
        <v>165</v>
      </c>
      <c r="I25" s="81" t="s">
        <v>23</v>
      </c>
      <c r="J25" s="83" t="s">
        <v>92</v>
      </c>
      <c r="K25" s="83">
        <v>520</v>
      </c>
      <c r="L25" s="17">
        <v>1040</v>
      </c>
      <c r="M25" s="17">
        <v>1</v>
      </c>
      <c r="N25" s="15">
        <f t="shared" si="0"/>
        <v>500</v>
      </c>
      <c r="O25" s="15">
        <f t="shared" si="1"/>
        <v>1000</v>
      </c>
      <c r="P25" s="109" t="s">
        <v>25</v>
      </c>
      <c r="Q25" s="52">
        <v>0.27800000000000002</v>
      </c>
      <c r="R25" s="39">
        <f t="shared" si="2"/>
        <v>0.27800000000000002</v>
      </c>
      <c r="S25" s="39">
        <v>0.1744</v>
      </c>
      <c r="T25" s="66">
        <f t="shared" si="3"/>
        <v>90.688000000000002</v>
      </c>
      <c r="U25" s="66">
        <v>0.1716</v>
      </c>
      <c r="V25" s="66">
        <f t="shared" ref="V25:V31" si="5">U25*L25</f>
        <v>178.464</v>
      </c>
      <c r="W25" s="153"/>
      <c r="X25" s="67"/>
    </row>
    <row r="26" spans="1:24" ht="15.75" thickBot="1">
      <c r="A26" s="6">
        <v>24</v>
      </c>
      <c r="B26" s="185"/>
      <c r="C26" s="160" t="s">
        <v>166</v>
      </c>
      <c r="D26" s="161" t="s">
        <v>167</v>
      </c>
      <c r="E26" s="161" t="s">
        <v>168</v>
      </c>
      <c r="F26" s="161" t="s">
        <v>169</v>
      </c>
      <c r="G26" s="162" t="s">
        <v>170</v>
      </c>
      <c r="H26" s="163" t="s">
        <v>171</v>
      </c>
      <c r="I26" s="161" t="s">
        <v>23</v>
      </c>
      <c r="J26" s="162" t="s">
        <v>172</v>
      </c>
      <c r="K26" s="162">
        <v>520</v>
      </c>
      <c r="L26" s="163">
        <v>1040</v>
      </c>
      <c r="M26" s="163">
        <v>1</v>
      </c>
      <c r="N26" s="126">
        <f t="shared" si="0"/>
        <v>500</v>
      </c>
      <c r="O26" s="126">
        <f t="shared" si="1"/>
        <v>1000</v>
      </c>
      <c r="P26" s="164" t="s">
        <v>25</v>
      </c>
      <c r="Q26" s="165">
        <v>0.18149999999999999</v>
      </c>
      <c r="R26" s="166">
        <f t="shared" si="2"/>
        <v>0.18149999999999999</v>
      </c>
      <c r="S26" s="171">
        <v>0.127</v>
      </c>
      <c r="T26" s="70">
        <f t="shared" si="3"/>
        <v>66.040000000000006</v>
      </c>
      <c r="U26" s="136">
        <v>0.1255</v>
      </c>
      <c r="V26" s="135">
        <f t="shared" si="5"/>
        <v>130.52000000000001</v>
      </c>
      <c r="W26" s="167"/>
      <c r="X26" s="67"/>
    </row>
    <row r="27" spans="1:24" ht="15.75" thickBot="1">
      <c r="A27" s="6">
        <v>25</v>
      </c>
      <c r="B27" s="184" t="s">
        <v>173</v>
      </c>
      <c r="C27" s="111" t="s">
        <v>174</v>
      </c>
      <c r="D27" s="112" t="s">
        <v>175</v>
      </c>
      <c r="E27" s="112" t="s">
        <v>176</v>
      </c>
      <c r="F27" s="112" t="s">
        <v>176</v>
      </c>
      <c r="G27" s="112" t="s">
        <v>177</v>
      </c>
      <c r="H27" s="112" t="s">
        <v>23</v>
      </c>
      <c r="I27" s="112" t="s">
        <v>23</v>
      </c>
      <c r="J27" s="112" t="s">
        <v>92</v>
      </c>
      <c r="K27" s="112">
        <v>600</v>
      </c>
      <c r="L27" s="27">
        <v>1100</v>
      </c>
      <c r="M27" s="27">
        <v>1</v>
      </c>
      <c r="N27" s="124">
        <f t="shared" si="0"/>
        <v>500</v>
      </c>
      <c r="O27" s="124">
        <f t="shared" si="1"/>
        <v>1000</v>
      </c>
      <c r="P27" s="56" t="s">
        <v>178</v>
      </c>
      <c r="Q27" s="55">
        <v>0.35</v>
      </c>
      <c r="R27" s="55">
        <f>Q27*100</f>
        <v>35</v>
      </c>
      <c r="S27" s="55">
        <v>0.35</v>
      </c>
      <c r="T27" s="129">
        <f t="shared" si="3"/>
        <v>210</v>
      </c>
      <c r="U27" s="73">
        <v>0.35</v>
      </c>
      <c r="V27" s="129">
        <f t="shared" si="5"/>
        <v>385</v>
      </c>
      <c r="W27" s="156" t="s">
        <v>179</v>
      </c>
      <c r="X27" s="67"/>
    </row>
    <row r="28" spans="1:24" ht="15.75" thickBot="1">
      <c r="A28" s="6">
        <v>26</v>
      </c>
      <c r="B28" s="185"/>
      <c r="C28" s="113" t="s">
        <v>180</v>
      </c>
      <c r="D28" s="114" t="s">
        <v>181</v>
      </c>
      <c r="E28" s="114" t="s">
        <v>56</v>
      </c>
      <c r="F28" s="114" t="s">
        <v>182</v>
      </c>
      <c r="G28" s="114" t="s">
        <v>183</v>
      </c>
      <c r="H28" s="114" t="s">
        <v>23</v>
      </c>
      <c r="I28" s="114" t="s">
        <v>23</v>
      </c>
      <c r="J28" s="115" t="s">
        <v>184</v>
      </c>
      <c r="K28" s="115">
        <v>1050</v>
      </c>
      <c r="L28" s="57">
        <v>2100</v>
      </c>
      <c r="M28" s="28">
        <v>2</v>
      </c>
      <c r="N28" s="15">
        <f t="shared" si="0"/>
        <v>1000</v>
      </c>
      <c r="O28" s="15">
        <f t="shared" si="1"/>
        <v>2000</v>
      </c>
      <c r="P28" s="58" t="s">
        <v>185</v>
      </c>
      <c r="Q28" s="59">
        <v>0.75</v>
      </c>
      <c r="R28" s="60">
        <f t="shared" si="2"/>
        <v>1.5</v>
      </c>
      <c r="S28" s="59">
        <v>0.75</v>
      </c>
      <c r="T28" s="66">
        <f t="shared" si="3"/>
        <v>787.5</v>
      </c>
      <c r="U28" s="59">
        <v>0.75</v>
      </c>
      <c r="V28" s="66">
        <f t="shared" si="5"/>
        <v>1575</v>
      </c>
      <c r="W28" s="157"/>
      <c r="X28" s="67"/>
    </row>
    <row r="29" spans="1:24" ht="15.75" thickBot="1">
      <c r="A29" s="6">
        <v>27</v>
      </c>
      <c r="B29" s="185"/>
      <c r="C29" s="113" t="s">
        <v>186</v>
      </c>
      <c r="D29" s="114" t="s">
        <v>187</v>
      </c>
      <c r="E29" s="114" t="s">
        <v>56</v>
      </c>
      <c r="F29" s="114" t="s">
        <v>188</v>
      </c>
      <c r="G29" s="114" t="s">
        <v>177</v>
      </c>
      <c r="H29" s="114" t="s">
        <v>23</v>
      </c>
      <c r="I29" s="114" t="s">
        <v>23</v>
      </c>
      <c r="J29" s="115" t="s">
        <v>92</v>
      </c>
      <c r="K29" s="115">
        <v>520</v>
      </c>
      <c r="L29" s="57">
        <v>1050</v>
      </c>
      <c r="M29" s="28">
        <v>1</v>
      </c>
      <c r="N29" s="15">
        <f t="shared" si="0"/>
        <v>500</v>
      </c>
      <c r="O29" s="15">
        <f t="shared" si="1"/>
        <v>1000</v>
      </c>
      <c r="P29" s="58" t="s">
        <v>178</v>
      </c>
      <c r="Q29" s="61">
        <v>0.18</v>
      </c>
      <c r="R29" s="60">
        <f>Q29*L29</f>
        <v>189</v>
      </c>
      <c r="S29" s="60">
        <v>0.18</v>
      </c>
      <c r="T29" s="66">
        <f t="shared" si="3"/>
        <v>93.6</v>
      </c>
      <c r="U29" s="61">
        <v>0.18</v>
      </c>
      <c r="V29" s="66">
        <f t="shared" si="5"/>
        <v>189</v>
      </c>
      <c r="W29" s="157"/>
      <c r="X29" s="67"/>
    </row>
    <row r="30" spans="1:24" ht="15.75" thickBot="1">
      <c r="A30" s="6">
        <v>28</v>
      </c>
      <c r="B30" s="185"/>
      <c r="C30" s="26" t="s">
        <v>189</v>
      </c>
      <c r="D30" s="81" t="s">
        <v>190</v>
      </c>
      <c r="E30" s="81" t="s">
        <v>56</v>
      </c>
      <c r="F30" s="81" t="s">
        <v>191</v>
      </c>
      <c r="G30" s="81" t="s">
        <v>192</v>
      </c>
      <c r="H30" s="81" t="s">
        <v>191</v>
      </c>
      <c r="I30" s="81" t="s">
        <v>23</v>
      </c>
      <c r="J30" s="83" t="s">
        <v>184</v>
      </c>
      <c r="K30" s="83">
        <v>540</v>
      </c>
      <c r="L30" s="17">
        <v>1060</v>
      </c>
      <c r="M30" s="11">
        <v>1</v>
      </c>
      <c r="N30" s="15">
        <f t="shared" si="0"/>
        <v>500</v>
      </c>
      <c r="O30" s="15">
        <f t="shared" si="1"/>
        <v>1000</v>
      </c>
      <c r="P30" s="62" t="s">
        <v>25</v>
      </c>
      <c r="Q30" s="133">
        <v>2.63E-2</v>
      </c>
      <c r="R30" s="63">
        <f>Q30*L30</f>
        <v>27.878</v>
      </c>
      <c r="S30" s="170">
        <v>1.9400000000000001E-2</v>
      </c>
      <c r="T30" s="66">
        <f t="shared" si="3"/>
        <v>10.476000000000001</v>
      </c>
      <c r="U30" s="74">
        <v>1.8200000000000001E-2</v>
      </c>
      <c r="V30" s="66">
        <f t="shared" si="5"/>
        <v>19.292000000000002</v>
      </c>
      <c r="W30" s="147"/>
      <c r="X30" s="67"/>
    </row>
    <row r="31" spans="1:24" ht="15.75" thickBot="1">
      <c r="A31" s="6">
        <v>29</v>
      </c>
      <c r="B31" s="185"/>
      <c r="C31" s="108" t="s">
        <v>193</v>
      </c>
      <c r="D31" s="81" t="s">
        <v>194</v>
      </c>
      <c r="E31" s="81" t="s">
        <v>195</v>
      </c>
      <c r="F31" s="81" t="s">
        <v>196</v>
      </c>
      <c r="G31" s="81" t="s">
        <v>197</v>
      </c>
      <c r="H31" s="17" t="s">
        <v>198</v>
      </c>
      <c r="I31" s="81" t="s">
        <v>23</v>
      </c>
      <c r="J31" s="83" t="s">
        <v>92</v>
      </c>
      <c r="K31" s="83">
        <v>1050</v>
      </c>
      <c r="L31" s="17">
        <v>2100</v>
      </c>
      <c r="M31" s="17">
        <v>2</v>
      </c>
      <c r="N31" s="15">
        <f t="shared" si="0"/>
        <v>1000</v>
      </c>
      <c r="O31" s="15">
        <f t="shared" si="1"/>
        <v>2000</v>
      </c>
      <c r="P31" s="172" t="s">
        <v>218</v>
      </c>
      <c r="Q31" s="52">
        <v>0.21</v>
      </c>
      <c r="R31" s="39">
        <f>Q31*M31</f>
        <v>0.42</v>
      </c>
      <c r="S31" s="39">
        <v>0.17</v>
      </c>
      <c r="T31" s="70">
        <f>S31*K31</f>
        <v>178.5</v>
      </c>
      <c r="U31" s="66">
        <v>0.17</v>
      </c>
      <c r="V31" s="135">
        <f t="shared" si="5"/>
        <v>357</v>
      </c>
      <c r="W31" s="153"/>
      <c r="X31" s="67"/>
    </row>
    <row r="32" spans="1:24" ht="15.75" thickBot="1">
      <c r="A32" s="6">
        <v>30</v>
      </c>
      <c r="B32" s="185"/>
      <c r="C32" s="116" t="s">
        <v>199</v>
      </c>
      <c r="D32" s="122" t="s">
        <v>207</v>
      </c>
      <c r="E32" s="117" t="s">
        <v>200</v>
      </c>
      <c r="F32" s="29" t="s">
        <v>200</v>
      </c>
      <c r="G32" s="168" t="s">
        <v>172</v>
      </c>
      <c r="H32" s="168" t="s">
        <v>172</v>
      </c>
      <c r="I32" s="168" t="s">
        <v>172</v>
      </c>
      <c r="J32" s="168" t="s">
        <v>172</v>
      </c>
      <c r="K32" s="168"/>
      <c r="L32" s="168" t="s">
        <v>215</v>
      </c>
      <c r="M32" s="29">
        <v>5</v>
      </c>
      <c r="N32" s="15">
        <f t="shared" si="0"/>
        <v>2500</v>
      </c>
      <c r="O32" s="15">
        <f t="shared" si="1"/>
        <v>5000</v>
      </c>
      <c r="P32" s="168" t="s">
        <v>172</v>
      </c>
      <c r="Q32" s="168" t="s">
        <v>172</v>
      </c>
      <c r="R32" s="168" t="s">
        <v>172</v>
      </c>
      <c r="S32" s="168" t="s">
        <v>172</v>
      </c>
      <c r="T32" s="168" t="s">
        <v>172</v>
      </c>
      <c r="U32" s="168" t="s">
        <v>172</v>
      </c>
      <c r="V32" s="168" t="s">
        <v>172</v>
      </c>
      <c r="W32" s="158" t="s">
        <v>201</v>
      </c>
      <c r="X32" s="67"/>
    </row>
    <row r="33" spans="1:24" ht="15.75" thickBot="1">
      <c r="A33" s="30">
        <v>31</v>
      </c>
      <c r="B33" s="186"/>
      <c r="C33" s="118" t="s">
        <v>202</v>
      </c>
      <c r="D33" s="31" t="s">
        <v>203</v>
      </c>
      <c r="E33" s="119" t="s">
        <v>204</v>
      </c>
      <c r="F33" s="31" t="s">
        <v>204</v>
      </c>
      <c r="G33" s="169" t="s">
        <v>172</v>
      </c>
      <c r="H33" s="169" t="s">
        <v>172</v>
      </c>
      <c r="I33" s="169" t="s">
        <v>172</v>
      </c>
      <c r="J33" s="169" t="s">
        <v>172</v>
      </c>
      <c r="K33" s="169"/>
      <c r="L33" s="31"/>
      <c r="M33" s="31">
        <v>5</v>
      </c>
      <c r="N33" s="134">
        <f t="shared" si="0"/>
        <v>2500</v>
      </c>
      <c r="O33" s="134">
        <f t="shared" si="1"/>
        <v>5000</v>
      </c>
      <c r="P33" s="169" t="s">
        <v>172</v>
      </c>
      <c r="Q33" s="169" t="s">
        <v>172</v>
      </c>
      <c r="R33" s="169" t="s">
        <v>172</v>
      </c>
      <c r="S33" s="169" t="s">
        <v>172</v>
      </c>
      <c r="T33" s="169" t="s">
        <v>172</v>
      </c>
      <c r="U33" s="169" t="s">
        <v>172</v>
      </c>
      <c r="V33" s="169" t="s">
        <v>172</v>
      </c>
      <c r="W33" s="159" t="s">
        <v>201</v>
      </c>
      <c r="X33" s="67"/>
    </row>
    <row r="34" spans="1:24" ht="16.5" thickBot="1">
      <c r="A34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182" t="s">
        <v>205</v>
      </c>
      <c r="N34" s="182"/>
      <c r="O34" s="182"/>
      <c r="P34" s="182"/>
      <c r="R34" s="64">
        <f>SUM(R3:R31)</f>
        <v>263.07690000000002</v>
      </c>
      <c r="T34" s="132">
        <f>SUM(T3:T31)</f>
        <v>5797.701</v>
      </c>
      <c r="U34" s="127"/>
      <c r="V34" s="127">
        <f>SUM(V3:V31)</f>
        <v>11562.876</v>
      </c>
      <c r="W34" s="32"/>
      <c r="X34" s="67"/>
    </row>
    <row r="35" spans="1:24" ht="15.75">
      <c r="A35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183" t="s">
        <v>206</v>
      </c>
      <c r="N35" s="183"/>
      <c r="O35" s="183"/>
      <c r="P35" s="183"/>
      <c r="T35" s="130">
        <f>T34/500</f>
        <v>11.595402</v>
      </c>
      <c r="U35" s="128"/>
      <c r="V35" s="131">
        <f>V34/1000</f>
        <v>11.562876000000001</v>
      </c>
      <c r="W35" s="32"/>
      <c r="X35" s="67"/>
    </row>
    <row r="36" spans="1:24" ht="15.75" thickBot="1">
      <c r="A36"/>
      <c r="X36" s="67"/>
    </row>
    <row r="37" spans="1:24" ht="16.5" thickBot="1">
      <c r="A37"/>
      <c r="M37" s="173"/>
      <c r="N37" s="174" t="s">
        <v>219</v>
      </c>
      <c r="O37" s="175"/>
      <c r="P37" s="175"/>
      <c r="Q37" s="175"/>
      <c r="R37" s="175"/>
      <c r="S37" s="175"/>
      <c r="T37" s="175">
        <f>45.51+16.15</f>
        <v>61.66</v>
      </c>
      <c r="U37" s="175"/>
      <c r="V37" s="176">
        <f>69.48+29.36</f>
        <v>98.84</v>
      </c>
      <c r="X37" s="67"/>
    </row>
    <row r="38" spans="1:24" ht="16.5" thickBot="1">
      <c r="A38"/>
      <c r="M38" s="173"/>
      <c r="N38" s="174" t="s">
        <v>220</v>
      </c>
      <c r="O38" s="175"/>
      <c r="P38" s="175"/>
      <c r="Q38" s="175"/>
      <c r="R38" s="175"/>
      <c r="S38" s="175"/>
      <c r="T38" s="177">
        <f>T37+T34</f>
        <v>5859.3609999999999</v>
      </c>
      <c r="U38" s="175"/>
      <c r="V38" s="178">
        <f>V37+V34</f>
        <v>11661.716</v>
      </c>
      <c r="X38" s="67"/>
    </row>
    <row r="39" spans="1:24">
      <c r="A39"/>
      <c r="X39" s="67"/>
    </row>
    <row r="40" spans="1:24">
      <c r="A40"/>
      <c r="X40" s="67"/>
    </row>
    <row r="41" spans="1:24">
      <c r="A41"/>
      <c r="X41" s="67"/>
    </row>
    <row r="42" spans="1:24">
      <c r="A42"/>
      <c r="X42" s="67"/>
    </row>
    <row r="43" spans="1:24" ht="15.75" customHeight="1">
      <c r="A43"/>
      <c r="X43" s="67"/>
    </row>
    <row r="44" spans="1:24">
      <c r="A44"/>
      <c r="X44" s="67"/>
    </row>
    <row r="45" spans="1:24">
      <c r="A45"/>
      <c r="X45" s="67"/>
    </row>
    <row r="46" spans="1:24">
      <c r="A46"/>
      <c r="X46" s="67"/>
    </row>
    <row r="47" spans="1:24">
      <c r="A47"/>
      <c r="X47" s="67"/>
    </row>
    <row r="48" spans="1:24">
      <c r="A48"/>
      <c r="X48" s="67"/>
    </row>
    <row r="49" spans="8:23">
      <c r="H49" s="33"/>
      <c r="W49" s="75"/>
    </row>
    <row r="50" spans="8:23">
      <c r="H50" s="33"/>
      <c r="V50" s="75"/>
    </row>
  </sheetData>
  <mergeCells count="8">
    <mergeCell ref="A1:W1"/>
    <mergeCell ref="M34:P34"/>
    <mergeCell ref="M35:P35"/>
    <mergeCell ref="B3:B12"/>
    <mergeCell ref="B13:B14"/>
    <mergeCell ref="B17:B23"/>
    <mergeCell ref="B24:B26"/>
    <mergeCell ref="B27:B33"/>
  </mergeCells>
  <conditionalFormatting sqref="W11">
    <cfRule type="dataBar" priority="4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{91B8D679-FF0B-4B19-A610-6C243FAF4003}</x14:id>
        </ext>
      </extLst>
    </cfRule>
  </conditionalFormatting>
  <conditionalFormatting sqref="W15">
    <cfRule type="dataBar" priority="4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{8602B36A-2B77-4657-823A-0D7B51A8C0D4}</x14:id>
        </ext>
      </extLst>
    </cfRule>
  </conditionalFormatting>
  <conditionalFormatting sqref="P16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W24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{4C28E1DE-FD45-4E1A-BDB3-0D57D1810C06}</x14:id>
        </ext>
      </extLst>
    </cfRule>
  </conditionalFormatting>
  <conditionalFormatting sqref="M27:O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2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{EA91E7CB-E035-4D5F-BD6B-48DFB63CCBDB}</x14:id>
        </ext>
      </extLst>
    </cfRule>
  </conditionalFormatting>
  <conditionalFormatting sqref="M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3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{72F02937-73F0-4B31-B5CA-2D756DF15D65}</x14:id>
        </ext>
      </extLst>
    </cfRule>
  </conditionalFormatting>
  <conditionalFormatting sqref="T35:V35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{54C4F5F8-EDE7-4601-AEAC-8E612BF30C27}</x14:id>
        </ext>
      </extLst>
    </cfRule>
  </conditionalFormatting>
  <conditionalFormatting sqref="M6:M10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4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P23:P2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U17:V23 T30:V31 T3:V15 T25:U25 U26:U27 U29:V29 T16:T31 V16:V31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{FFB8FD96-BB87-47DD-9E3B-FBA7E127703C}</x14:id>
        </ext>
      </extLst>
    </cfRule>
  </conditionalFormatting>
  <conditionalFormatting sqref="W27:W30">
    <cfRule type="dataBar" priority="4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{DC4F43E8-CA2D-4F5A-A416-CCDF4C097D17}</x14:id>
        </ext>
      </extLst>
    </cfRule>
  </conditionalFormatting>
  <conditionalFormatting sqref="M11:M26 M31 N3:O33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P8" r:id="rId1" xr:uid="{00000000-0004-0000-0000-000000000000}"/>
    <hyperlink ref="P9" r:id="rId2" xr:uid="{00000000-0004-0000-0000-000001000000}"/>
    <hyperlink ref="P10" r:id="rId3" xr:uid="{00000000-0004-0000-0000-000002000000}"/>
    <hyperlink ref="P11" r:id="rId4" xr:uid="{00000000-0004-0000-0000-000003000000}"/>
    <hyperlink ref="P12" r:id="rId5" xr:uid="{00000000-0004-0000-0000-000004000000}"/>
    <hyperlink ref="P13" r:id="rId6" xr:uid="{00000000-0004-0000-0000-000005000000}"/>
    <hyperlink ref="P14" r:id="rId7" xr:uid="{00000000-0004-0000-0000-000006000000}"/>
    <hyperlink ref="P17" r:id="rId8" xr:uid="{00000000-0004-0000-0000-000007000000}"/>
    <hyperlink ref="P18" r:id="rId9" xr:uid="{00000000-0004-0000-0000-000008000000}"/>
    <hyperlink ref="P19" r:id="rId10" xr:uid="{00000000-0004-0000-0000-000009000000}"/>
    <hyperlink ref="P20" r:id="rId11" xr:uid="{00000000-0004-0000-0000-00000A000000}"/>
    <hyperlink ref="P22" r:id="rId12" xr:uid="{00000000-0004-0000-0000-00000B000000}"/>
    <hyperlink ref="P23" r:id="rId13" xr:uid="{00000000-0004-0000-0000-00000C000000}"/>
    <hyperlink ref="P25" r:id="rId14" xr:uid="{00000000-0004-0000-0000-00000D000000}"/>
    <hyperlink ref="P26" r:id="rId15" xr:uid="{00000000-0004-0000-0000-00000E000000}"/>
    <hyperlink ref="P6" r:id="rId16" xr:uid="{00000000-0004-0000-0000-00000F000000}"/>
    <hyperlink ref="P7" r:id="rId17" xr:uid="{00000000-0004-0000-0000-000010000000}"/>
    <hyperlink ref="P21" r:id="rId18" xr:uid="{00000000-0004-0000-0000-000011000000}"/>
    <hyperlink ref="P3" r:id="rId19" xr:uid="{00000000-0004-0000-0000-000012000000}"/>
    <hyperlink ref="P4" r:id="rId20" xr:uid="{00000000-0004-0000-0000-000013000000}"/>
    <hyperlink ref="P5" r:id="rId21" xr:uid="{00000000-0004-0000-0000-000014000000}"/>
    <hyperlink ref="P27" r:id="rId22" xr:uid="{00000000-0004-0000-0000-000015000000}"/>
    <hyperlink ref="P29" r:id="rId23" xr:uid="{00000000-0004-0000-0000-000016000000}"/>
    <hyperlink ref="P15" r:id="rId24" xr:uid="{00000000-0004-0000-0000-000017000000}"/>
    <hyperlink ref="P30" r:id="rId25" xr:uid="{00000000-0004-0000-0000-000018000000}"/>
    <hyperlink ref="P31" r:id="rId26" xr:uid="{00000000-0004-0000-0000-000019000000}"/>
  </hyperlinks>
  <pageMargins left="0.7" right="0.7" top="0.75" bottom="0.75" header="0.3" footer="0.3"/>
  <pageSetup orientation="portrait" r:id="rId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B8D679-FF0B-4B19-A610-6C243FAF400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W11</xm:sqref>
        </x14:conditionalFormatting>
        <x14:conditionalFormatting xmlns:xm="http://schemas.microsoft.com/office/excel/2006/main">
          <x14:cfRule type="dataBar" id="{8602B36A-2B77-4657-823A-0D7B51A8C0D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W15</xm:sqref>
        </x14:conditionalFormatting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P16</xm:sqref>
        </x14:conditionalFormatting>
        <x14:conditionalFormatting xmlns:xm="http://schemas.microsoft.com/office/excel/2006/main">
          <x14:cfRule type="dataBar" id="{4C28E1DE-FD45-4E1A-BDB3-0D57D1810C0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W24</xm:sqref>
        </x14:conditionalFormatting>
        <x14:conditionalFormatting xmlns:xm="http://schemas.microsoft.com/office/excel/2006/main">
          <x14:cfRule type="dataBar" id="{EA91E7CB-E035-4D5F-BD6B-48DFB63CCBD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W32</xm:sqref>
        </x14:conditionalFormatting>
        <x14:conditionalFormatting xmlns:xm="http://schemas.microsoft.com/office/excel/2006/main">
          <x14:cfRule type="dataBar" id="{72F02937-73F0-4B31-B5CA-2D756DF15D6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W33</xm:sqref>
        </x14:conditionalFormatting>
        <x14:conditionalFormatting xmlns:xm="http://schemas.microsoft.com/office/excel/2006/main">
          <x14:cfRule type="dataBar" id="{54C4F5F8-EDE7-4601-AEAC-8E612BF30C2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T35:V35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P3:P4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P23:P24</xm:sqref>
        </x14:conditionalFormatting>
        <x14:conditionalFormatting xmlns:xm="http://schemas.microsoft.com/office/excel/2006/main">
          <x14:cfRule type="dataBar" id="{FFB8FD96-BB87-47DD-9E3B-FBA7E1277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U17:V23 T30:V31 T3:V15 T25:U25 U26:U27 U29:V29 T16:T31 V16:V31</xm:sqref>
        </x14:conditionalFormatting>
        <x14:conditionalFormatting xmlns:xm="http://schemas.microsoft.com/office/excel/2006/main">
          <x14:cfRule type="dataBar" id="{DC4F43E8-CA2D-4F5A-A416-CCDF4C097D1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W27:W30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2021-06-08T13:45:00Z</dcterms:created>
  <dcterms:modified xsi:type="dcterms:W3CDTF">2021-12-14T07:47:03Z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