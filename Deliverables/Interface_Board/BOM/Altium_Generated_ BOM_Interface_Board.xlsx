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hristianRaun-EthercatDesign\Deliverables\Interface_Board\BOM\"/>
    </mc:Choice>
  </mc:AlternateContent>
  <xr:revisionPtr revIDLastSave="0" documentId="13_ncr:1_{D5DFFEA6-E201-4513-A6A0-65AD066E829E}" xr6:coauthVersionLast="47" xr6:coauthVersionMax="47" xr10:uidLastSave="{00000000-0000-0000-0000-000000000000}"/>
  <bookViews>
    <workbookView xWindow="-120" yWindow="-120" windowWidth="29040" windowHeight="15840" xr2:uid="{0CEA5FC6-3485-4BF7-80A2-F28A1866164D}"/>
  </bookViews>
  <sheets>
    <sheet name="Altium_Generated_ BOM_Interface" sheetId="1" r:id="rId1"/>
  </sheets>
  <definedNames>
    <definedName name="_xlnm.Print_Titles" localSheetId="0">'Altium_Generated_ BOM_Interface'!$1:$1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P2" i="1"/>
  <c r="O2" i="1"/>
</calcChain>
</file>

<file path=xl/sharedStrings.xml><?xml version="1.0" encoding="utf-8"?>
<sst xmlns="http://schemas.openxmlformats.org/spreadsheetml/2006/main" count="323" uniqueCount="168">
  <si>
    <t>Comment</t>
  </si>
  <si>
    <t>Description</t>
  </si>
  <si>
    <t>Designator</t>
  </si>
  <si>
    <t>Footprint</t>
  </si>
  <si>
    <t>Quantity</t>
  </si>
  <si>
    <t>Manufacturer Part Number</t>
  </si>
  <si>
    <t>10uF</t>
  </si>
  <si>
    <t>CAP CER 10UF 25V X5R 0603</t>
  </si>
  <si>
    <t>C1</t>
  </si>
  <si>
    <t>Cap0603</t>
  </si>
  <si>
    <t>GRM188R61E106MA73J</t>
  </si>
  <si>
    <t>22uF</t>
  </si>
  <si>
    <t>CAP CER 22UF 25V X5R 0805</t>
  </si>
  <si>
    <t>C2</t>
  </si>
  <si>
    <t>Cap0805</t>
  </si>
  <si>
    <t>CC0805MKX5R8BB226</t>
  </si>
  <si>
    <t>100uF</t>
  </si>
  <si>
    <t>25V 5mm 10mm 100uF 100kHz SMD,5x10mm Aluminum Electrolytic Cap- SMD ROHS</t>
  </si>
  <si>
    <t>C43</t>
  </si>
  <si>
    <t>VKMB1001E101MV</t>
  </si>
  <si>
    <t>63V 10mm 8mm 100uF ±20% ,8x10mm Aluminum Electrolytic Cap</t>
  </si>
  <si>
    <t>C44, C#9, C#10</t>
  </si>
  <si>
    <t>VKMD1001J101MV</t>
  </si>
  <si>
    <t>1uF</t>
  </si>
  <si>
    <t>CAP CER 1UF 100V X7S 0805</t>
  </si>
  <si>
    <t>C45</t>
  </si>
  <si>
    <t>GCM21BC72A105KE36L</t>
  </si>
  <si>
    <t>10pF</t>
  </si>
  <si>
    <t>CAP CER 10PF 50V C0G/NP0 0603</t>
  </si>
  <si>
    <t>C48, C49, C50, C51, C52, C53, C54, C55</t>
  </si>
  <si>
    <t>06035A100JAT2A/4K</t>
  </si>
  <si>
    <t>22nF</t>
  </si>
  <si>
    <t>CAP CER 0.022UF 100V X7R 0603</t>
  </si>
  <si>
    <t>C56, C57, C#8</t>
  </si>
  <si>
    <t>CGA3E2X7R2A223K080AA</t>
  </si>
  <si>
    <t>1000pF</t>
  </si>
  <si>
    <t>1206 1 nF 2 kV ±10 % Tolerance X7R SMT Multilayer Ceramic Capacitor</t>
  </si>
  <si>
    <t>C58</t>
  </si>
  <si>
    <t>Cap1206</t>
  </si>
  <si>
    <t>CC1206KKX7RDBB102</t>
  </si>
  <si>
    <t>0.1uF</t>
  </si>
  <si>
    <t>CAP CER 0.1UF 100V X7R 0603</t>
  </si>
  <si>
    <t>C#1, C#2, C#3, C#4, C#11, C#12</t>
  </si>
  <si>
    <t>CC0603KRX7R0BB104</t>
  </si>
  <si>
    <t>4.7uF</t>
  </si>
  <si>
    <t>CAP CER 4.7UF 25V X5R 0603</t>
  </si>
  <si>
    <t>C#5</t>
  </si>
  <si>
    <t>C1608X5R1E475M080AC</t>
  </si>
  <si>
    <t>470nF</t>
  </si>
  <si>
    <t>CAP CER 0.47UF 100V X7S 0805</t>
  </si>
  <si>
    <t>C#6, C#7</t>
  </si>
  <si>
    <t>C2012X7S2A474K125AB</t>
  </si>
  <si>
    <t>PMEG3030EP,115</t>
  </si>
  <si>
    <t>Diode Schottky 30V 3A 2-Pin SOD-128 T/R</t>
  </si>
  <si>
    <t>D2</t>
  </si>
  <si>
    <t>PMEG3030EP-115</t>
  </si>
  <si>
    <t>MSK4010</t>
  </si>
  <si>
    <t>SOD-523 Schottky Barrier Diodes (SBD) ROHS</t>
  </si>
  <si>
    <t>D3</t>
  </si>
  <si>
    <t>MMSZ5V6CW</t>
  </si>
  <si>
    <t>1μA@2V 40Ω Single 5.2V~6V 500mW 5.6V SOD123G Zener Diodes ROHS</t>
  </si>
  <si>
    <t>D4</t>
  </si>
  <si>
    <t>SOD123G</t>
  </si>
  <si>
    <t>SMBJ43A</t>
  </si>
  <si>
    <t>8.6A 69.4V 47.8V 43V Unidirectional SMB(DO-214AA) TVS ROHS</t>
  </si>
  <si>
    <t>D5</t>
  </si>
  <si>
    <t>SMB</t>
  </si>
  <si>
    <t>PHF254SMD-x</t>
  </si>
  <si>
    <t>P=2.54mm Female Headers,SMD,ROHS</t>
  </si>
  <si>
    <t>J1</t>
  </si>
  <si>
    <t>HY951180A</t>
  </si>
  <si>
    <t>Through Hole Ethernet Connectors/Modular Connectors (RJ45 RJ11) ROHS</t>
  </si>
  <si>
    <t>J2, J3</t>
  </si>
  <si>
    <t>1125N1202SNM</t>
  </si>
  <si>
    <t>CONN HEADER 4 POS 2.54mm SMD</t>
  </si>
  <si>
    <t>J4</t>
  </si>
  <si>
    <t>2.2uH</t>
  </si>
  <si>
    <t>IND SMD 1.5A 2.2uH ±20% 135mΩ</t>
  </si>
  <si>
    <t>L1</t>
  </si>
  <si>
    <t>MCS20FC-2R2MMP</t>
  </si>
  <si>
    <t>33µH</t>
  </si>
  <si>
    <t>FIXED IND 33UH 2.5A 189.2MOHM SM</t>
  </si>
  <si>
    <t>L10</t>
  </si>
  <si>
    <t>ETQ-P4M330YFN</t>
  </si>
  <si>
    <t>C37208</t>
  </si>
  <si>
    <t>Straight 1 6 2.54mm Black Brass Plugin,P=2.54mm Pin Headers ROHS</t>
  </si>
  <si>
    <t>P1</t>
  </si>
  <si>
    <t>826629-2</t>
  </si>
  <si>
    <t>CONN HEADER VERT 2POS 2.54MM</t>
  </si>
  <si>
    <t>P2, P3</t>
  </si>
  <si>
    <t>HDR1X2</t>
  </si>
  <si>
    <t>8266292</t>
  </si>
  <si>
    <t>Test Point</t>
  </si>
  <si>
    <t>Test Point ON</t>
  </si>
  <si>
    <t>P4, P5, P6, P7, P8</t>
  </si>
  <si>
    <t>TEST POINT</t>
  </si>
  <si>
    <t>IRLML2502TRPBF</t>
  </si>
  <si>
    <t>MOSFET N-CH 20V 4.2A SOT23</t>
  </si>
  <si>
    <t>Q1</t>
  </si>
  <si>
    <t>BCX56</t>
  </si>
  <si>
    <t>80V 500mW 1A 63@150mA,2V 130MHz 500mV@500mA,50mA NPN +150℃@(Tj) SOT-89(SOT-89-3) Bipolar Transistors - BJT ROHS</t>
  </si>
  <si>
    <t>Q2</t>
  </si>
  <si>
    <t>SOT-89</t>
  </si>
  <si>
    <t>10K</t>
  </si>
  <si>
    <t>RES SMD 10K OHM 5% 1/10W 0603</t>
  </si>
  <si>
    <t>R1, R#, R#1</t>
  </si>
  <si>
    <t>Res0603</t>
  </si>
  <si>
    <t>AC0603JR-0710KL</t>
  </si>
  <si>
    <t>100K</t>
  </si>
  <si>
    <t>RES SMD 100K OHM 5% 1/5W 0603</t>
  </si>
  <si>
    <t>R2</t>
  </si>
  <si>
    <t>CRGH0603J100K</t>
  </si>
  <si>
    <t>75m</t>
  </si>
  <si>
    <t>RES 0.075 OHM 1% 2W 2512</t>
  </si>
  <si>
    <t>R27</t>
  </si>
  <si>
    <t>RES 2512</t>
  </si>
  <si>
    <t>CSRN2512FK75L0</t>
  </si>
  <si>
    <t>9K</t>
  </si>
  <si>
    <t>RES SMD 9kΩ ±100ppm/℃ 0.125W 0805</t>
  </si>
  <si>
    <t>R28</t>
  </si>
  <si>
    <t>RES 0805</t>
  </si>
  <si>
    <t>1K</t>
  </si>
  <si>
    <t>RES SMD 1K OHM 1% 1/10W 0603</t>
  </si>
  <si>
    <t>R29</t>
  </si>
  <si>
    <t>RC0603FR-071KL</t>
  </si>
  <si>
    <t>49K9</t>
  </si>
  <si>
    <t>Res Thick Film 1.6 x 0.8 mm 49.9K Ohm 1% 0.1W(1/10W) 100ppm/ C Molded SMD Paper T/R</t>
  </si>
  <si>
    <t>R30, R31, R32, R34, R35, R36, R37, R38</t>
  </si>
  <si>
    <t>RC0603FR-0749K9L</t>
  </si>
  <si>
    <t>330R</t>
  </si>
  <si>
    <t>RES  SMD 330R 100 mW 0603</t>
  </si>
  <si>
    <t>R33, R39</t>
  </si>
  <si>
    <t>RC0603JR-07330RL</t>
  </si>
  <si>
    <t>22k</t>
  </si>
  <si>
    <t>RES SMD 22K OHM 0.1% 1/10W 0603</t>
  </si>
  <si>
    <t>R#3</t>
  </si>
  <si>
    <t>RT0603BRE0722KL</t>
  </si>
  <si>
    <t>2.2R</t>
  </si>
  <si>
    <t>RES 2.2 OHM 1% 1/10W 0603</t>
  </si>
  <si>
    <t>R#4</t>
  </si>
  <si>
    <t>RC0603FR-072R2L</t>
  </si>
  <si>
    <t>100R</t>
  </si>
  <si>
    <t>RES SMD 100 OHM 1% 1/10W 0603</t>
  </si>
  <si>
    <t>R#5</t>
  </si>
  <si>
    <t>RC0603FR-07100RL</t>
  </si>
  <si>
    <t>150m</t>
  </si>
  <si>
    <t>RES SMD 150m ohms 1/4 1206</t>
  </si>
  <si>
    <t>R#6, R#7</t>
  </si>
  <si>
    <t>Res-1206</t>
  </si>
  <si>
    <t>Solder Bridge</t>
  </si>
  <si>
    <t>Solder Bridge ON</t>
  </si>
  <si>
    <t>SB1</t>
  </si>
  <si>
    <t>TPS62162DSGR</t>
  </si>
  <si>
    <t>Buck Switching Regulator IC Positive Fixed 3.3V 1 Output 1A 8-WFDFN Exposed Pad</t>
  </si>
  <si>
    <t>U1</t>
  </si>
  <si>
    <t>8-WSON (2x2)</t>
  </si>
  <si>
    <t>TMC2130-LA-T</t>
  </si>
  <si>
    <t>IC STEPPER MOTOR DVR SPI 36QFN</t>
  </si>
  <si>
    <t>U3</t>
  </si>
  <si>
    <t>XL4001E1</t>
  </si>
  <si>
    <t>2A 40V SOIC-8_EP_150mil DC-DC Converters ROHS</t>
  </si>
  <si>
    <t>U7</t>
  </si>
  <si>
    <t>-</t>
  </si>
  <si>
    <t>0805W8F9001T5E</t>
  </si>
  <si>
    <t>RC0603FR-0749R9L</t>
  </si>
  <si>
    <t>1206W4F150LT5E</t>
  </si>
  <si>
    <t>49R9</t>
  </si>
  <si>
    <t>MFP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</si>
</sst>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  <font>
      <sz val="9"/>
      <name val="Calibri"/>
      <charset val="134"/>
      <scheme val="minor"/>
    </font>
    <font>
      <sz val="11"/>
      <color rgb="FF24292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0DD9-A171-471E-8A0F-9330422D4820}">
  <dimension ref="A1:R41"/>
  <sheetViews>
    <sheetView tabSelected="1" topLeftCell="A11" workbookViewId="0">
      <selection activeCell="D24" sqref="D24"/>
    </sheetView>
  </sheetViews>
  <sheetFormatPr defaultRowHeight="15"/>
  <cols>
    <col min="1" max="2" width="19.7109375" customWidth="1"/>
    <col min="3" max="3" width="34" style="8" bestFit="1" customWidth="1"/>
    <col min="4" max="4" width="19.7109375" style="8" customWidth="1"/>
    <col min="5" max="5" width="8.7109375" style="8" bestFit="1" customWidth="1"/>
    <col min="6" max="6" width="25.140625" style="8" bestFit="1" customWidth="1"/>
    <col min="10" max="10" width="10.5703125" bestFit="1" customWidth="1"/>
    <col min="11" max="11" width="25.28515625" bestFit="1" customWidth="1"/>
    <col min="15" max="15" width="10.5703125" style="8" bestFit="1" customWidth="1"/>
    <col min="16" max="16" width="11.42578125" style="4" customWidth="1"/>
    <col min="17" max="17" width="12" style="8" customWidth="1"/>
    <col min="18" max="18" width="9.140625" style="8"/>
  </cols>
  <sheetData>
    <row r="1" spans="1:18" s="3" customFormat="1" ht="15.75" thickBot="1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J1" s="17" t="s">
        <v>2</v>
      </c>
      <c r="K1" s="14" t="s">
        <v>5</v>
      </c>
      <c r="L1" s="9" t="s">
        <v>0</v>
      </c>
      <c r="M1" s="17" t="s">
        <v>4</v>
      </c>
      <c r="O1" s="18" t="s">
        <v>2</v>
      </c>
      <c r="P1" s="18" t="s">
        <v>167</v>
      </c>
      <c r="Q1" s="18" t="s">
        <v>0</v>
      </c>
      <c r="R1" s="18" t="s">
        <v>4</v>
      </c>
    </row>
    <row r="2" spans="1:18" ht="16.5">
      <c r="A2" s="1" t="s">
        <v>6</v>
      </c>
      <c r="B2" s="1" t="s">
        <v>7</v>
      </c>
      <c r="C2" s="7" t="s">
        <v>8</v>
      </c>
      <c r="D2" s="7" t="s">
        <v>9</v>
      </c>
      <c r="E2" s="6">
        <v>1</v>
      </c>
      <c r="F2" s="7" t="s">
        <v>10</v>
      </c>
      <c r="J2" s="12" t="s">
        <v>8</v>
      </c>
      <c r="K2" s="15" t="s">
        <v>10</v>
      </c>
      <c r="L2" s="10" t="s">
        <v>6</v>
      </c>
      <c r="M2" s="12">
        <v>1</v>
      </c>
      <c r="O2" s="19" t="str">
        <f>IF(J2=C2,"Match","Mismatch")</f>
        <v>Match</v>
      </c>
      <c r="P2" s="19" t="str">
        <f>IF(K2=F2,"Match","Mismatch")</f>
        <v>Match</v>
      </c>
      <c r="Q2" s="19" t="str">
        <f>IF(L2=A2,"Match","Mismatch")</f>
        <v>Match</v>
      </c>
      <c r="R2" s="19" t="str">
        <f>IF(M2=E2,"Match","Mismatch")</f>
        <v>Match</v>
      </c>
    </row>
    <row r="3" spans="1:18" ht="16.5">
      <c r="A3" s="1" t="s">
        <v>11</v>
      </c>
      <c r="B3" s="1" t="s">
        <v>12</v>
      </c>
      <c r="C3" s="7" t="s">
        <v>13</v>
      </c>
      <c r="D3" s="7" t="s">
        <v>14</v>
      </c>
      <c r="E3" s="6">
        <v>1</v>
      </c>
      <c r="F3" s="7" t="s">
        <v>15</v>
      </c>
      <c r="J3" s="13" t="s">
        <v>13</v>
      </c>
      <c r="K3" s="16" t="s">
        <v>15</v>
      </c>
      <c r="L3" s="11" t="s">
        <v>11</v>
      </c>
      <c r="M3" s="13">
        <v>1</v>
      </c>
      <c r="O3" s="19" t="str">
        <f t="shared" ref="O3:O41" si="0">IF(J3=C3,"Match","Mismatch")</f>
        <v>Match</v>
      </c>
      <c r="P3" s="19" t="str">
        <f t="shared" ref="P3:P41" si="1">IF(K3=F3,"Match","Mismatch")</f>
        <v>Match</v>
      </c>
      <c r="Q3" s="19" t="str">
        <f t="shared" ref="Q3:Q41" si="2">IF(L3=A3,"Match","Mismatch")</f>
        <v>Match</v>
      </c>
      <c r="R3" s="19" t="str">
        <f t="shared" ref="R3:R41" si="3">IF(M3=E3,"Match","Mismatch")</f>
        <v>Match</v>
      </c>
    </row>
    <row r="4" spans="1:18" ht="16.5">
      <c r="A4" s="1" t="s">
        <v>16</v>
      </c>
      <c r="B4" s="1" t="s">
        <v>17</v>
      </c>
      <c r="C4" s="7" t="s">
        <v>18</v>
      </c>
      <c r="E4" s="6">
        <v>1</v>
      </c>
      <c r="F4" s="7" t="s">
        <v>19</v>
      </c>
      <c r="J4" s="12" t="s">
        <v>18</v>
      </c>
      <c r="K4" s="15" t="s">
        <v>19</v>
      </c>
      <c r="L4" s="10" t="s">
        <v>16</v>
      </c>
      <c r="M4" s="12">
        <v>1</v>
      </c>
      <c r="O4" s="19" t="str">
        <f t="shared" si="0"/>
        <v>Match</v>
      </c>
      <c r="P4" s="19" t="str">
        <f t="shared" si="1"/>
        <v>Match</v>
      </c>
      <c r="Q4" s="19" t="str">
        <f t="shared" si="2"/>
        <v>Match</v>
      </c>
      <c r="R4" s="19" t="str">
        <f t="shared" si="3"/>
        <v>Match</v>
      </c>
    </row>
    <row r="5" spans="1:18" ht="24">
      <c r="A5" s="1" t="s">
        <v>16</v>
      </c>
      <c r="B5" s="1" t="s">
        <v>20</v>
      </c>
      <c r="C5" s="7" t="s">
        <v>21</v>
      </c>
      <c r="E5" s="6">
        <v>3</v>
      </c>
      <c r="F5" s="7" t="s">
        <v>22</v>
      </c>
      <c r="J5" s="13" t="s">
        <v>21</v>
      </c>
      <c r="K5" s="16" t="s">
        <v>22</v>
      </c>
      <c r="L5" s="11" t="s">
        <v>16</v>
      </c>
      <c r="M5" s="13">
        <v>3</v>
      </c>
      <c r="O5" s="19" t="str">
        <f t="shared" si="0"/>
        <v>Match</v>
      </c>
      <c r="P5" s="19" t="str">
        <f t="shared" si="1"/>
        <v>Match</v>
      </c>
      <c r="Q5" s="19" t="str">
        <f t="shared" si="2"/>
        <v>Match</v>
      </c>
      <c r="R5" s="19" t="str">
        <f t="shared" si="3"/>
        <v>Match</v>
      </c>
    </row>
    <row r="6" spans="1:18" ht="16.5">
      <c r="A6" s="1" t="s">
        <v>23</v>
      </c>
      <c r="B6" s="1" t="s">
        <v>24</v>
      </c>
      <c r="C6" s="7" t="s">
        <v>25</v>
      </c>
      <c r="D6" s="7" t="s">
        <v>14</v>
      </c>
      <c r="E6" s="6">
        <v>1</v>
      </c>
      <c r="F6" s="7" t="s">
        <v>26</v>
      </c>
      <c r="J6" s="12" t="s">
        <v>25</v>
      </c>
      <c r="K6" s="15" t="s">
        <v>26</v>
      </c>
      <c r="L6" s="10" t="s">
        <v>23</v>
      </c>
      <c r="M6" s="12">
        <v>1</v>
      </c>
      <c r="O6" s="19" t="str">
        <f t="shared" si="0"/>
        <v>Match</v>
      </c>
      <c r="P6" s="19" t="str">
        <f t="shared" si="1"/>
        <v>Match</v>
      </c>
      <c r="Q6" s="19" t="str">
        <f t="shared" si="2"/>
        <v>Match</v>
      </c>
      <c r="R6" s="19" t="str">
        <f t="shared" si="3"/>
        <v>Match</v>
      </c>
    </row>
    <row r="7" spans="1:18" ht="48">
      <c r="A7" s="1" t="s">
        <v>27</v>
      </c>
      <c r="B7" s="1" t="s">
        <v>28</v>
      </c>
      <c r="C7" s="7" t="s">
        <v>29</v>
      </c>
      <c r="D7" s="7" t="s">
        <v>9</v>
      </c>
      <c r="E7" s="6">
        <v>8</v>
      </c>
      <c r="F7" s="7" t="s">
        <v>30</v>
      </c>
      <c r="J7" s="13" t="s">
        <v>29</v>
      </c>
      <c r="K7" s="16" t="s">
        <v>30</v>
      </c>
      <c r="L7" s="11" t="s">
        <v>27</v>
      </c>
      <c r="M7" s="13">
        <v>8</v>
      </c>
      <c r="O7" s="19" t="str">
        <f t="shared" si="0"/>
        <v>Match</v>
      </c>
      <c r="P7" s="19" t="str">
        <f t="shared" si="1"/>
        <v>Match</v>
      </c>
      <c r="Q7" s="19" t="str">
        <f t="shared" si="2"/>
        <v>Match</v>
      </c>
      <c r="R7" s="19" t="str">
        <f t="shared" si="3"/>
        <v>Match</v>
      </c>
    </row>
    <row r="8" spans="1:18" ht="16.5">
      <c r="A8" s="1" t="s">
        <v>31</v>
      </c>
      <c r="B8" s="1" t="s">
        <v>32</v>
      </c>
      <c r="C8" s="7" t="s">
        <v>33</v>
      </c>
      <c r="D8" s="7" t="s">
        <v>9</v>
      </c>
      <c r="E8" s="6">
        <v>3</v>
      </c>
      <c r="F8" s="7" t="s">
        <v>34</v>
      </c>
      <c r="J8" s="12" t="s">
        <v>33</v>
      </c>
      <c r="K8" s="15" t="s">
        <v>34</v>
      </c>
      <c r="L8" s="10" t="s">
        <v>31</v>
      </c>
      <c r="M8" s="12">
        <v>3</v>
      </c>
      <c r="O8" s="19" t="str">
        <f t="shared" si="0"/>
        <v>Match</v>
      </c>
      <c r="P8" s="19" t="str">
        <f t="shared" si="1"/>
        <v>Match</v>
      </c>
      <c r="Q8" s="19" t="str">
        <f t="shared" si="2"/>
        <v>Match</v>
      </c>
      <c r="R8" s="19" t="str">
        <f t="shared" si="3"/>
        <v>Match</v>
      </c>
    </row>
    <row r="9" spans="1:18" ht="16.5">
      <c r="A9" s="1" t="s">
        <v>35</v>
      </c>
      <c r="B9" s="1" t="s">
        <v>36</v>
      </c>
      <c r="C9" s="7" t="s">
        <v>37</v>
      </c>
      <c r="D9" s="7" t="s">
        <v>38</v>
      </c>
      <c r="E9" s="6">
        <v>1</v>
      </c>
      <c r="F9" s="7" t="s">
        <v>39</v>
      </c>
      <c r="J9" s="13" t="s">
        <v>37</v>
      </c>
      <c r="K9" s="16" t="s">
        <v>39</v>
      </c>
      <c r="L9" s="11" t="s">
        <v>35</v>
      </c>
      <c r="M9" s="13">
        <v>1</v>
      </c>
      <c r="O9" s="19" t="str">
        <f t="shared" si="0"/>
        <v>Match</v>
      </c>
      <c r="P9" s="19" t="str">
        <f t="shared" si="1"/>
        <v>Match</v>
      </c>
      <c r="Q9" s="19" t="str">
        <f t="shared" si="2"/>
        <v>Match</v>
      </c>
      <c r="R9" s="19" t="str">
        <f t="shared" si="3"/>
        <v>Match</v>
      </c>
    </row>
    <row r="10" spans="1:18" ht="36">
      <c r="A10" s="1" t="s">
        <v>40</v>
      </c>
      <c r="B10" s="1" t="s">
        <v>41</v>
      </c>
      <c r="C10" s="7" t="s">
        <v>42</v>
      </c>
      <c r="D10" s="7" t="s">
        <v>9</v>
      </c>
      <c r="E10" s="6">
        <v>6</v>
      </c>
      <c r="F10" s="7" t="s">
        <v>43</v>
      </c>
      <c r="J10" s="12" t="s">
        <v>42</v>
      </c>
      <c r="K10" s="15" t="s">
        <v>43</v>
      </c>
      <c r="L10" s="10" t="s">
        <v>40</v>
      </c>
      <c r="M10" s="12">
        <v>6</v>
      </c>
      <c r="O10" s="19" t="str">
        <f t="shared" si="0"/>
        <v>Match</v>
      </c>
      <c r="P10" s="19" t="str">
        <f t="shared" si="1"/>
        <v>Match</v>
      </c>
      <c r="Q10" s="19" t="str">
        <f t="shared" si="2"/>
        <v>Match</v>
      </c>
      <c r="R10" s="19" t="str">
        <f t="shared" si="3"/>
        <v>Match</v>
      </c>
    </row>
    <row r="11" spans="1:18" ht="16.5">
      <c r="A11" s="1" t="s">
        <v>44</v>
      </c>
      <c r="B11" s="1" t="s">
        <v>45</v>
      </c>
      <c r="C11" s="7" t="s">
        <v>46</v>
      </c>
      <c r="D11" s="7" t="s">
        <v>9</v>
      </c>
      <c r="E11" s="6">
        <v>1</v>
      </c>
      <c r="F11" s="7" t="s">
        <v>47</v>
      </c>
      <c r="J11" s="13" t="s">
        <v>46</v>
      </c>
      <c r="K11" s="16" t="s">
        <v>47</v>
      </c>
      <c r="L11" s="11" t="s">
        <v>44</v>
      </c>
      <c r="M11" s="13">
        <v>1</v>
      </c>
      <c r="O11" s="19" t="str">
        <f t="shared" si="0"/>
        <v>Match</v>
      </c>
      <c r="P11" s="19" t="str">
        <f t="shared" si="1"/>
        <v>Match</v>
      </c>
      <c r="Q11" s="19" t="str">
        <f t="shared" si="2"/>
        <v>Match</v>
      </c>
      <c r="R11" s="19" t="str">
        <f t="shared" si="3"/>
        <v>Match</v>
      </c>
    </row>
    <row r="12" spans="1:18" ht="16.5">
      <c r="A12" s="1" t="s">
        <v>48</v>
      </c>
      <c r="B12" s="1" t="s">
        <v>49</v>
      </c>
      <c r="C12" s="7" t="s">
        <v>50</v>
      </c>
      <c r="D12" s="7" t="s">
        <v>14</v>
      </c>
      <c r="E12" s="6">
        <v>2</v>
      </c>
      <c r="F12" s="7" t="s">
        <v>51</v>
      </c>
      <c r="J12" s="12" t="s">
        <v>50</v>
      </c>
      <c r="K12" s="15" t="s">
        <v>51</v>
      </c>
      <c r="L12" s="10" t="s">
        <v>48</v>
      </c>
      <c r="M12" s="12">
        <v>2</v>
      </c>
      <c r="O12" s="19" t="str">
        <f t="shared" si="0"/>
        <v>Match</v>
      </c>
      <c r="P12" s="19" t="str">
        <f t="shared" si="1"/>
        <v>Match</v>
      </c>
      <c r="Q12" s="19" t="str">
        <f t="shared" si="2"/>
        <v>Match</v>
      </c>
      <c r="R12" s="19" t="str">
        <f t="shared" si="3"/>
        <v>Match</v>
      </c>
    </row>
    <row r="13" spans="1:18" ht="16.5">
      <c r="A13" s="1" t="s">
        <v>52</v>
      </c>
      <c r="B13" s="1" t="s">
        <v>53</v>
      </c>
      <c r="C13" s="7" t="s">
        <v>54</v>
      </c>
      <c r="D13" s="7" t="s">
        <v>52</v>
      </c>
      <c r="E13" s="6">
        <v>1</v>
      </c>
      <c r="F13" s="7" t="s">
        <v>55</v>
      </c>
      <c r="J13" s="13" t="s">
        <v>54</v>
      </c>
      <c r="K13" s="16" t="s">
        <v>55</v>
      </c>
      <c r="L13" s="11" t="s">
        <v>162</v>
      </c>
      <c r="M13" s="13">
        <v>1</v>
      </c>
      <c r="O13" s="19" t="str">
        <f t="shared" si="0"/>
        <v>Match</v>
      </c>
      <c r="P13" s="19" t="str">
        <f t="shared" si="1"/>
        <v>Match</v>
      </c>
      <c r="Q13" s="19" t="str">
        <f t="shared" si="2"/>
        <v>Mismatch</v>
      </c>
      <c r="R13" s="19" t="str">
        <f t="shared" si="3"/>
        <v>Match</v>
      </c>
    </row>
    <row r="14" spans="1:18" ht="16.5">
      <c r="A14" s="1" t="s">
        <v>56</v>
      </c>
      <c r="B14" s="1" t="s">
        <v>57</v>
      </c>
      <c r="C14" s="7" t="s">
        <v>58</v>
      </c>
      <c r="E14" s="6">
        <v>1</v>
      </c>
      <c r="F14" s="7" t="s">
        <v>56</v>
      </c>
      <c r="J14" s="12" t="s">
        <v>58</v>
      </c>
      <c r="K14" s="15" t="s">
        <v>56</v>
      </c>
      <c r="L14" s="10" t="s">
        <v>162</v>
      </c>
      <c r="M14" s="12">
        <v>1</v>
      </c>
      <c r="O14" s="19" t="str">
        <f t="shared" si="0"/>
        <v>Match</v>
      </c>
      <c r="P14" s="19" t="str">
        <f t="shared" si="1"/>
        <v>Match</v>
      </c>
      <c r="Q14" s="19" t="str">
        <f t="shared" si="2"/>
        <v>Mismatch</v>
      </c>
      <c r="R14" s="19" t="str">
        <f t="shared" si="3"/>
        <v>Match</v>
      </c>
    </row>
    <row r="15" spans="1:18" ht="16.5">
      <c r="A15" s="1" t="s">
        <v>59</v>
      </c>
      <c r="B15" s="1" t="s">
        <v>60</v>
      </c>
      <c r="C15" s="7" t="s">
        <v>61</v>
      </c>
      <c r="D15" s="7" t="s">
        <v>62</v>
      </c>
      <c r="E15" s="6">
        <v>1</v>
      </c>
      <c r="F15" s="7" t="s">
        <v>59</v>
      </c>
      <c r="J15" s="13" t="s">
        <v>61</v>
      </c>
      <c r="K15" s="16" t="s">
        <v>59</v>
      </c>
      <c r="L15" s="11" t="s">
        <v>162</v>
      </c>
      <c r="M15" s="13">
        <v>1</v>
      </c>
      <c r="O15" s="19" t="str">
        <f t="shared" si="0"/>
        <v>Match</v>
      </c>
      <c r="P15" s="19" t="str">
        <f t="shared" si="1"/>
        <v>Match</v>
      </c>
      <c r="Q15" s="19" t="str">
        <f t="shared" si="2"/>
        <v>Mismatch</v>
      </c>
      <c r="R15" s="19" t="str">
        <f t="shared" si="3"/>
        <v>Match</v>
      </c>
    </row>
    <row r="16" spans="1:18" ht="16.5">
      <c r="A16" s="1" t="s">
        <v>63</v>
      </c>
      <c r="B16" s="1" t="s">
        <v>64</v>
      </c>
      <c r="C16" s="7" t="s">
        <v>65</v>
      </c>
      <c r="D16" s="7" t="s">
        <v>66</v>
      </c>
      <c r="E16" s="6">
        <v>1</v>
      </c>
      <c r="F16" s="7" t="s">
        <v>63</v>
      </c>
      <c r="J16" s="12" t="s">
        <v>65</v>
      </c>
      <c r="K16" s="15" t="s">
        <v>63</v>
      </c>
      <c r="L16" s="10" t="s">
        <v>162</v>
      </c>
      <c r="M16" s="12">
        <v>1</v>
      </c>
      <c r="O16" s="19" t="str">
        <f t="shared" si="0"/>
        <v>Match</v>
      </c>
      <c r="P16" s="19" t="str">
        <f t="shared" si="1"/>
        <v>Match</v>
      </c>
      <c r="Q16" s="19" t="str">
        <f t="shared" si="2"/>
        <v>Mismatch</v>
      </c>
      <c r="R16" s="19" t="str">
        <f t="shared" si="3"/>
        <v>Match</v>
      </c>
    </row>
    <row r="17" spans="1:18" ht="16.5">
      <c r="A17" s="1" t="s">
        <v>67</v>
      </c>
      <c r="B17" s="1" t="s">
        <v>68</v>
      </c>
      <c r="C17" s="7" t="s">
        <v>69</v>
      </c>
      <c r="E17" s="6">
        <v>1</v>
      </c>
      <c r="F17" s="7" t="s">
        <v>67</v>
      </c>
      <c r="J17" s="13" t="s">
        <v>69</v>
      </c>
      <c r="K17" s="16" t="s">
        <v>67</v>
      </c>
      <c r="L17" s="11" t="s">
        <v>162</v>
      </c>
      <c r="M17" s="13">
        <v>1</v>
      </c>
      <c r="O17" s="19" t="str">
        <f t="shared" si="0"/>
        <v>Match</v>
      </c>
      <c r="P17" s="19" t="str">
        <f t="shared" si="1"/>
        <v>Match</v>
      </c>
      <c r="Q17" s="19" t="str">
        <f t="shared" si="2"/>
        <v>Mismatch</v>
      </c>
      <c r="R17" s="19" t="str">
        <f t="shared" si="3"/>
        <v>Match</v>
      </c>
    </row>
    <row r="18" spans="1:18" ht="16.5">
      <c r="A18" s="1" t="s">
        <v>70</v>
      </c>
      <c r="B18" s="1" t="s">
        <v>71</v>
      </c>
      <c r="C18" s="7" t="s">
        <v>72</v>
      </c>
      <c r="E18" s="6">
        <v>2</v>
      </c>
      <c r="F18" s="7" t="s">
        <v>70</v>
      </c>
      <c r="J18" s="12" t="s">
        <v>72</v>
      </c>
      <c r="K18" s="15" t="s">
        <v>70</v>
      </c>
      <c r="L18" s="10" t="s">
        <v>162</v>
      </c>
      <c r="M18" s="12">
        <v>2</v>
      </c>
      <c r="O18" s="19" t="str">
        <f t="shared" si="0"/>
        <v>Match</v>
      </c>
      <c r="P18" s="19" t="str">
        <f t="shared" si="1"/>
        <v>Match</v>
      </c>
      <c r="Q18" s="19" t="str">
        <f t="shared" si="2"/>
        <v>Mismatch</v>
      </c>
      <c r="R18" s="19" t="str">
        <f t="shared" si="3"/>
        <v>Match</v>
      </c>
    </row>
    <row r="19" spans="1:18" ht="16.5">
      <c r="A19" s="1" t="s">
        <v>73</v>
      </c>
      <c r="B19" s="1" t="s">
        <v>74</v>
      </c>
      <c r="C19" s="7" t="s">
        <v>75</v>
      </c>
      <c r="E19" s="6">
        <v>1</v>
      </c>
      <c r="F19" s="7" t="s">
        <v>73</v>
      </c>
      <c r="J19" s="13" t="s">
        <v>75</v>
      </c>
      <c r="K19" s="16" t="s">
        <v>73</v>
      </c>
      <c r="L19" s="11" t="s">
        <v>162</v>
      </c>
      <c r="M19" s="13">
        <v>1</v>
      </c>
      <c r="O19" s="19" t="str">
        <f t="shared" si="0"/>
        <v>Match</v>
      </c>
      <c r="P19" s="19" t="str">
        <f t="shared" si="1"/>
        <v>Match</v>
      </c>
      <c r="Q19" s="19" t="str">
        <f t="shared" si="2"/>
        <v>Mismatch</v>
      </c>
      <c r="R19" s="19" t="str">
        <f t="shared" si="3"/>
        <v>Match</v>
      </c>
    </row>
    <row r="20" spans="1:18" ht="16.5">
      <c r="A20" s="1" t="s">
        <v>76</v>
      </c>
      <c r="B20" s="1" t="s">
        <v>77</v>
      </c>
      <c r="C20" s="7" t="s">
        <v>78</v>
      </c>
      <c r="E20" s="6">
        <v>1</v>
      </c>
      <c r="F20" s="7" t="s">
        <v>79</v>
      </c>
      <c r="J20" s="12" t="s">
        <v>78</v>
      </c>
      <c r="K20" s="15" t="s">
        <v>79</v>
      </c>
      <c r="L20" s="10" t="s">
        <v>76</v>
      </c>
      <c r="M20" s="12">
        <v>1</v>
      </c>
      <c r="O20" s="19" t="str">
        <f t="shared" si="0"/>
        <v>Match</v>
      </c>
      <c r="P20" s="19" t="str">
        <f t="shared" si="1"/>
        <v>Match</v>
      </c>
      <c r="Q20" s="19" t="str">
        <f t="shared" si="2"/>
        <v>Match</v>
      </c>
      <c r="R20" s="19" t="str">
        <f t="shared" si="3"/>
        <v>Match</v>
      </c>
    </row>
    <row r="21" spans="1:18" ht="16.5">
      <c r="A21" s="1" t="s">
        <v>80</v>
      </c>
      <c r="B21" s="1" t="s">
        <v>81</v>
      </c>
      <c r="C21" s="7" t="s">
        <v>82</v>
      </c>
      <c r="D21" s="7" t="s">
        <v>83</v>
      </c>
      <c r="E21" s="6">
        <v>1</v>
      </c>
      <c r="F21" s="7" t="s">
        <v>83</v>
      </c>
      <c r="J21" s="13" t="s">
        <v>82</v>
      </c>
      <c r="K21" s="16" t="s">
        <v>83</v>
      </c>
      <c r="L21" s="11" t="s">
        <v>80</v>
      </c>
      <c r="M21" s="13">
        <v>1</v>
      </c>
      <c r="O21" s="19" t="str">
        <f t="shared" si="0"/>
        <v>Match</v>
      </c>
      <c r="P21" s="19" t="str">
        <f t="shared" si="1"/>
        <v>Match</v>
      </c>
      <c r="Q21" s="19" t="str">
        <f t="shared" si="2"/>
        <v>Match</v>
      </c>
      <c r="R21" s="19" t="str">
        <f t="shared" si="3"/>
        <v>Match</v>
      </c>
    </row>
    <row r="22" spans="1:18" ht="16.5">
      <c r="A22" s="1" t="s">
        <v>84</v>
      </c>
      <c r="B22" s="1" t="s">
        <v>85</v>
      </c>
      <c r="C22" s="7" t="s">
        <v>86</v>
      </c>
      <c r="D22" s="7" t="s">
        <v>84</v>
      </c>
      <c r="E22" s="6">
        <v>1</v>
      </c>
      <c r="F22" s="7" t="s">
        <v>84</v>
      </c>
      <c r="J22" s="12" t="s">
        <v>86</v>
      </c>
      <c r="K22" s="15" t="s">
        <v>84</v>
      </c>
      <c r="L22" s="10" t="s">
        <v>162</v>
      </c>
      <c r="M22" s="12">
        <v>1</v>
      </c>
      <c r="O22" s="19" t="str">
        <f t="shared" si="0"/>
        <v>Match</v>
      </c>
      <c r="P22" s="19" t="str">
        <f t="shared" si="1"/>
        <v>Match</v>
      </c>
      <c r="Q22" s="19" t="str">
        <f t="shared" si="2"/>
        <v>Mismatch</v>
      </c>
      <c r="R22" s="19" t="str">
        <f t="shared" si="3"/>
        <v>Match</v>
      </c>
    </row>
    <row r="23" spans="1:18" ht="16.5">
      <c r="A23" s="1" t="s">
        <v>87</v>
      </c>
      <c r="B23" s="1" t="s">
        <v>88</v>
      </c>
      <c r="C23" s="7" t="s">
        <v>89</v>
      </c>
      <c r="D23" s="7" t="s">
        <v>90</v>
      </c>
      <c r="E23" s="6">
        <v>2</v>
      </c>
      <c r="F23" s="7" t="s">
        <v>91</v>
      </c>
      <c r="J23" s="13" t="s">
        <v>89</v>
      </c>
      <c r="K23" s="16">
        <v>8266292</v>
      </c>
      <c r="L23" s="11" t="s">
        <v>162</v>
      </c>
      <c r="M23" s="13">
        <v>2</v>
      </c>
      <c r="O23" s="19" t="str">
        <f t="shared" si="0"/>
        <v>Match</v>
      </c>
      <c r="P23" s="19" t="str">
        <f t="shared" si="1"/>
        <v>Mismatch</v>
      </c>
      <c r="Q23" s="19" t="str">
        <f t="shared" si="2"/>
        <v>Mismatch</v>
      </c>
      <c r="R23" s="19" t="str">
        <f t="shared" si="3"/>
        <v>Match</v>
      </c>
    </row>
    <row r="24" spans="1:18" ht="24">
      <c r="A24" s="1" t="s">
        <v>92</v>
      </c>
      <c r="B24" s="1" t="s">
        <v>93</v>
      </c>
      <c r="C24" s="7" t="s">
        <v>94</v>
      </c>
      <c r="D24" s="7" t="s">
        <v>95</v>
      </c>
      <c r="E24" s="6">
        <v>5</v>
      </c>
      <c r="F24" s="6"/>
      <c r="J24" s="12" t="s">
        <v>94</v>
      </c>
      <c r="K24" s="15" t="s">
        <v>162</v>
      </c>
      <c r="L24" s="10" t="s">
        <v>162</v>
      </c>
      <c r="M24" s="12">
        <v>5</v>
      </c>
      <c r="O24" s="19" t="str">
        <f t="shared" si="0"/>
        <v>Match</v>
      </c>
      <c r="P24" s="19" t="str">
        <f t="shared" si="1"/>
        <v>Mismatch</v>
      </c>
      <c r="Q24" s="19" t="str">
        <f t="shared" si="2"/>
        <v>Mismatch</v>
      </c>
      <c r="R24" s="19" t="str">
        <f t="shared" si="3"/>
        <v>Match</v>
      </c>
    </row>
    <row r="25" spans="1:18" ht="16.5">
      <c r="A25" s="1" t="s">
        <v>96</v>
      </c>
      <c r="B25" s="1" t="s">
        <v>97</v>
      </c>
      <c r="C25" s="7" t="s">
        <v>98</v>
      </c>
      <c r="D25" s="7" t="s">
        <v>96</v>
      </c>
      <c r="E25" s="6">
        <v>1</v>
      </c>
      <c r="F25" s="7" t="s">
        <v>96</v>
      </c>
      <c r="J25" s="13" t="s">
        <v>98</v>
      </c>
      <c r="K25" s="16" t="s">
        <v>96</v>
      </c>
      <c r="L25" s="11" t="s">
        <v>162</v>
      </c>
      <c r="M25" s="13">
        <v>1</v>
      </c>
      <c r="O25" s="19" t="str">
        <f t="shared" si="0"/>
        <v>Match</v>
      </c>
      <c r="P25" s="19" t="str">
        <f t="shared" si="1"/>
        <v>Match</v>
      </c>
      <c r="Q25" s="19" t="str">
        <f t="shared" si="2"/>
        <v>Mismatch</v>
      </c>
      <c r="R25" s="19" t="str">
        <f t="shared" si="3"/>
        <v>Match</v>
      </c>
    </row>
    <row r="26" spans="1:18" ht="16.5">
      <c r="B26" s="1" t="s">
        <v>100</v>
      </c>
      <c r="C26" s="7" t="s">
        <v>101</v>
      </c>
      <c r="D26" s="7" t="s">
        <v>102</v>
      </c>
      <c r="E26" s="6">
        <v>1</v>
      </c>
      <c r="F26" s="7" t="s">
        <v>99</v>
      </c>
      <c r="J26" s="12" t="s">
        <v>101</v>
      </c>
      <c r="K26" s="15" t="s">
        <v>99</v>
      </c>
      <c r="L26" s="10" t="s">
        <v>162</v>
      </c>
      <c r="M26" s="12">
        <v>1</v>
      </c>
      <c r="O26" s="19" t="str">
        <f t="shared" si="0"/>
        <v>Match</v>
      </c>
      <c r="P26" s="19" t="str">
        <f t="shared" si="1"/>
        <v>Match</v>
      </c>
      <c r="Q26" s="19" t="str">
        <f t="shared" si="2"/>
        <v>Mismatch</v>
      </c>
      <c r="R26" s="19" t="str">
        <f t="shared" si="3"/>
        <v>Match</v>
      </c>
    </row>
    <row r="27" spans="1:18" ht="16.5">
      <c r="A27" s="1" t="s">
        <v>103</v>
      </c>
      <c r="B27" s="1" t="s">
        <v>104</v>
      </c>
      <c r="C27" s="7" t="s">
        <v>105</v>
      </c>
      <c r="D27" s="7" t="s">
        <v>106</v>
      </c>
      <c r="E27" s="6">
        <v>3</v>
      </c>
      <c r="F27" s="7" t="s">
        <v>107</v>
      </c>
      <c r="J27" s="13" t="s">
        <v>105</v>
      </c>
      <c r="K27" s="16" t="s">
        <v>107</v>
      </c>
      <c r="L27" s="11" t="s">
        <v>103</v>
      </c>
      <c r="M27" s="13">
        <v>3</v>
      </c>
      <c r="O27" s="19" t="str">
        <f t="shared" si="0"/>
        <v>Match</v>
      </c>
      <c r="P27" s="19" t="str">
        <f t="shared" si="1"/>
        <v>Match</v>
      </c>
      <c r="Q27" s="19" t="str">
        <f t="shared" si="2"/>
        <v>Match</v>
      </c>
      <c r="R27" s="19" t="str">
        <f t="shared" si="3"/>
        <v>Match</v>
      </c>
    </row>
    <row r="28" spans="1:18" ht="16.5">
      <c r="A28" s="1" t="s">
        <v>108</v>
      </c>
      <c r="B28" s="1" t="s">
        <v>109</v>
      </c>
      <c r="C28" s="7" t="s">
        <v>110</v>
      </c>
      <c r="D28" s="7" t="s">
        <v>106</v>
      </c>
      <c r="E28" s="6">
        <v>1</v>
      </c>
      <c r="F28" s="7" t="s">
        <v>111</v>
      </c>
      <c r="J28" s="12" t="s">
        <v>110</v>
      </c>
      <c r="K28" s="15" t="s">
        <v>111</v>
      </c>
      <c r="L28" s="10" t="s">
        <v>108</v>
      </c>
      <c r="M28" s="12">
        <v>1</v>
      </c>
      <c r="O28" s="19" t="str">
        <f t="shared" si="0"/>
        <v>Match</v>
      </c>
      <c r="P28" s="19" t="str">
        <f t="shared" si="1"/>
        <v>Match</v>
      </c>
      <c r="Q28" s="19" t="str">
        <f t="shared" si="2"/>
        <v>Match</v>
      </c>
      <c r="R28" s="19" t="str">
        <f t="shared" si="3"/>
        <v>Match</v>
      </c>
    </row>
    <row r="29" spans="1:18" ht="16.5">
      <c r="A29" s="1" t="s">
        <v>112</v>
      </c>
      <c r="B29" s="1" t="s">
        <v>113</v>
      </c>
      <c r="C29" s="7" t="s">
        <v>114</v>
      </c>
      <c r="D29" s="7" t="s">
        <v>115</v>
      </c>
      <c r="E29" s="6">
        <v>1</v>
      </c>
      <c r="F29" s="7" t="s">
        <v>116</v>
      </c>
      <c r="J29" s="13" t="s">
        <v>114</v>
      </c>
      <c r="K29" s="16" t="s">
        <v>116</v>
      </c>
      <c r="L29" s="11" t="s">
        <v>112</v>
      </c>
      <c r="M29" s="13">
        <v>1</v>
      </c>
      <c r="O29" s="19" t="str">
        <f t="shared" si="0"/>
        <v>Match</v>
      </c>
      <c r="P29" s="19" t="str">
        <f t="shared" si="1"/>
        <v>Match</v>
      </c>
      <c r="Q29" s="19" t="str">
        <f t="shared" si="2"/>
        <v>Match</v>
      </c>
      <c r="R29" s="19" t="str">
        <f t="shared" si="3"/>
        <v>Match</v>
      </c>
    </row>
    <row r="30" spans="1:18" ht="16.5">
      <c r="A30" s="1" t="s">
        <v>117</v>
      </c>
      <c r="B30" s="1" t="s">
        <v>118</v>
      </c>
      <c r="C30" s="7" t="s">
        <v>119</v>
      </c>
      <c r="D30" s="7" t="s">
        <v>120</v>
      </c>
      <c r="E30" s="6">
        <v>1</v>
      </c>
      <c r="F30" s="6" t="s">
        <v>163</v>
      </c>
      <c r="J30" s="12" t="s">
        <v>119</v>
      </c>
      <c r="K30" s="15" t="s">
        <v>163</v>
      </c>
      <c r="L30" s="10" t="s">
        <v>117</v>
      </c>
      <c r="M30" s="12">
        <v>1</v>
      </c>
      <c r="O30" s="19" t="str">
        <f t="shared" si="0"/>
        <v>Match</v>
      </c>
      <c r="P30" s="19" t="str">
        <f t="shared" si="1"/>
        <v>Match</v>
      </c>
      <c r="Q30" s="19" t="str">
        <f t="shared" si="2"/>
        <v>Match</v>
      </c>
      <c r="R30" s="19" t="str">
        <f t="shared" si="3"/>
        <v>Match</v>
      </c>
    </row>
    <row r="31" spans="1:18" ht="16.5">
      <c r="A31" s="1" t="s">
        <v>121</v>
      </c>
      <c r="B31" s="1" t="s">
        <v>122</v>
      </c>
      <c r="C31" s="7" t="s">
        <v>123</v>
      </c>
      <c r="D31" s="7" t="s">
        <v>106</v>
      </c>
      <c r="E31" s="6">
        <v>1</v>
      </c>
      <c r="F31" s="7" t="s">
        <v>124</v>
      </c>
      <c r="J31" s="13" t="s">
        <v>123</v>
      </c>
      <c r="K31" s="16" t="s">
        <v>124</v>
      </c>
      <c r="L31" s="11" t="s">
        <v>121</v>
      </c>
      <c r="M31" s="13">
        <v>1</v>
      </c>
      <c r="O31" s="19" t="str">
        <f t="shared" si="0"/>
        <v>Match</v>
      </c>
      <c r="P31" s="19" t="str">
        <f t="shared" si="1"/>
        <v>Match</v>
      </c>
      <c r="Q31" s="19" t="str">
        <f t="shared" si="2"/>
        <v>Match</v>
      </c>
      <c r="R31" s="19" t="str">
        <f t="shared" si="3"/>
        <v>Match</v>
      </c>
    </row>
    <row r="32" spans="1:18" ht="48">
      <c r="A32" s="1" t="s">
        <v>125</v>
      </c>
      <c r="B32" s="1" t="s">
        <v>126</v>
      </c>
      <c r="C32" s="7" t="s">
        <v>127</v>
      </c>
      <c r="D32" s="7" t="s">
        <v>106</v>
      </c>
      <c r="E32" s="6">
        <v>8</v>
      </c>
      <c r="F32" s="7" t="s">
        <v>128</v>
      </c>
      <c r="J32" s="12" t="s">
        <v>127</v>
      </c>
      <c r="K32" s="15" t="s">
        <v>164</v>
      </c>
      <c r="L32" s="10" t="s">
        <v>166</v>
      </c>
      <c r="M32" s="12">
        <v>8</v>
      </c>
      <c r="O32" s="19" t="str">
        <f t="shared" si="0"/>
        <v>Match</v>
      </c>
      <c r="P32" s="19" t="str">
        <f t="shared" si="1"/>
        <v>Mismatch</v>
      </c>
      <c r="Q32" s="19" t="str">
        <f t="shared" si="2"/>
        <v>Mismatch</v>
      </c>
      <c r="R32" s="19" t="str">
        <f t="shared" si="3"/>
        <v>Match</v>
      </c>
    </row>
    <row r="33" spans="1:18" ht="16.5">
      <c r="A33" s="1" t="s">
        <v>129</v>
      </c>
      <c r="B33" s="1" t="s">
        <v>130</v>
      </c>
      <c r="C33" s="7" t="s">
        <v>131</v>
      </c>
      <c r="D33" s="7" t="s">
        <v>106</v>
      </c>
      <c r="E33" s="6">
        <v>2</v>
      </c>
      <c r="F33" s="7" t="s">
        <v>132</v>
      </c>
      <c r="J33" s="13" t="s">
        <v>131</v>
      </c>
      <c r="K33" s="16" t="s">
        <v>132</v>
      </c>
      <c r="L33" s="11" t="s">
        <v>129</v>
      </c>
      <c r="M33" s="13">
        <v>2</v>
      </c>
      <c r="O33" s="19" t="str">
        <f t="shared" si="0"/>
        <v>Match</v>
      </c>
      <c r="P33" s="19" t="str">
        <f t="shared" si="1"/>
        <v>Match</v>
      </c>
      <c r="Q33" s="19" t="str">
        <f t="shared" si="2"/>
        <v>Match</v>
      </c>
      <c r="R33" s="19" t="str">
        <f t="shared" si="3"/>
        <v>Match</v>
      </c>
    </row>
    <row r="34" spans="1:18" ht="16.5">
      <c r="A34" s="1" t="s">
        <v>133</v>
      </c>
      <c r="B34" s="1" t="s">
        <v>134</v>
      </c>
      <c r="C34" s="7" t="s">
        <v>135</v>
      </c>
      <c r="D34" s="7" t="s">
        <v>106</v>
      </c>
      <c r="E34" s="6">
        <v>1</v>
      </c>
      <c r="F34" s="7" t="s">
        <v>136</v>
      </c>
      <c r="J34" s="12" t="s">
        <v>135</v>
      </c>
      <c r="K34" s="15" t="s">
        <v>136</v>
      </c>
      <c r="L34" s="10" t="s">
        <v>133</v>
      </c>
      <c r="M34" s="12">
        <v>1</v>
      </c>
      <c r="O34" s="19" t="str">
        <f t="shared" si="0"/>
        <v>Match</v>
      </c>
      <c r="P34" s="19" t="str">
        <f t="shared" si="1"/>
        <v>Match</v>
      </c>
      <c r="Q34" s="19" t="str">
        <f t="shared" si="2"/>
        <v>Match</v>
      </c>
      <c r="R34" s="19" t="str">
        <f t="shared" si="3"/>
        <v>Match</v>
      </c>
    </row>
    <row r="35" spans="1:18" ht="16.5">
      <c r="A35" s="1" t="s">
        <v>137</v>
      </c>
      <c r="B35" s="1" t="s">
        <v>138</v>
      </c>
      <c r="C35" s="7" t="s">
        <v>139</v>
      </c>
      <c r="D35" s="7" t="s">
        <v>106</v>
      </c>
      <c r="E35" s="6">
        <v>1</v>
      </c>
      <c r="F35" s="7" t="s">
        <v>140</v>
      </c>
      <c r="J35" s="13" t="s">
        <v>139</v>
      </c>
      <c r="K35" s="16" t="s">
        <v>140</v>
      </c>
      <c r="L35" s="11" t="s">
        <v>137</v>
      </c>
      <c r="M35" s="13">
        <v>1</v>
      </c>
      <c r="O35" s="19" t="str">
        <f t="shared" si="0"/>
        <v>Match</v>
      </c>
      <c r="P35" s="19" t="str">
        <f t="shared" si="1"/>
        <v>Match</v>
      </c>
      <c r="Q35" s="19" t="str">
        <f t="shared" si="2"/>
        <v>Match</v>
      </c>
      <c r="R35" s="19" t="str">
        <f t="shared" si="3"/>
        <v>Match</v>
      </c>
    </row>
    <row r="36" spans="1:18" ht="16.5">
      <c r="A36" s="1" t="s">
        <v>141</v>
      </c>
      <c r="B36" s="1" t="s">
        <v>142</v>
      </c>
      <c r="C36" s="7" t="s">
        <v>143</v>
      </c>
      <c r="D36" s="7" t="s">
        <v>106</v>
      </c>
      <c r="E36" s="6">
        <v>1</v>
      </c>
      <c r="F36" s="7" t="s">
        <v>144</v>
      </c>
      <c r="J36" s="12" t="s">
        <v>143</v>
      </c>
      <c r="K36" s="15" t="s">
        <v>144</v>
      </c>
      <c r="L36" s="10" t="s">
        <v>141</v>
      </c>
      <c r="M36" s="12">
        <v>1</v>
      </c>
      <c r="O36" s="19" t="str">
        <f t="shared" si="0"/>
        <v>Match</v>
      </c>
      <c r="P36" s="19" t="str">
        <f t="shared" si="1"/>
        <v>Match</v>
      </c>
      <c r="Q36" s="19" t="str">
        <f t="shared" si="2"/>
        <v>Match</v>
      </c>
      <c r="R36" s="19" t="str">
        <f t="shared" si="3"/>
        <v>Match</v>
      </c>
    </row>
    <row r="37" spans="1:18" ht="16.5">
      <c r="A37" s="1" t="s">
        <v>145</v>
      </c>
      <c r="B37" s="1" t="s">
        <v>146</v>
      </c>
      <c r="C37" s="7" t="s">
        <v>147</v>
      </c>
      <c r="D37" s="7" t="s">
        <v>148</v>
      </c>
      <c r="E37" s="6">
        <v>2</v>
      </c>
      <c r="F37" s="6" t="s">
        <v>165</v>
      </c>
      <c r="J37" s="13" t="s">
        <v>147</v>
      </c>
      <c r="K37" s="16" t="s">
        <v>165</v>
      </c>
      <c r="L37" s="11" t="s">
        <v>145</v>
      </c>
      <c r="M37" s="13">
        <v>2</v>
      </c>
      <c r="O37" s="19" t="str">
        <f t="shared" si="0"/>
        <v>Match</v>
      </c>
      <c r="P37" s="19" t="str">
        <f t="shared" si="1"/>
        <v>Match</v>
      </c>
      <c r="Q37" s="19" t="str">
        <f t="shared" si="2"/>
        <v>Match</v>
      </c>
      <c r="R37" s="19" t="str">
        <f t="shared" si="3"/>
        <v>Match</v>
      </c>
    </row>
    <row r="38" spans="1:18" ht="24">
      <c r="A38" s="1" t="s">
        <v>149</v>
      </c>
      <c r="B38" s="1" t="s">
        <v>150</v>
      </c>
      <c r="C38" s="7" t="s">
        <v>151</v>
      </c>
      <c r="D38" s="7" t="s">
        <v>149</v>
      </c>
      <c r="E38" s="6">
        <v>1</v>
      </c>
      <c r="F38" s="6"/>
      <c r="J38" s="12" t="s">
        <v>151</v>
      </c>
      <c r="K38" s="15" t="s">
        <v>162</v>
      </c>
      <c r="L38" s="10" t="s">
        <v>149</v>
      </c>
      <c r="M38" s="12">
        <v>1</v>
      </c>
      <c r="O38" s="19" t="str">
        <f t="shared" si="0"/>
        <v>Match</v>
      </c>
      <c r="P38" s="19" t="str">
        <f t="shared" si="1"/>
        <v>Mismatch</v>
      </c>
      <c r="Q38" s="19" t="str">
        <f t="shared" si="2"/>
        <v>Match</v>
      </c>
      <c r="R38" s="19" t="str">
        <f t="shared" si="3"/>
        <v>Match</v>
      </c>
    </row>
    <row r="39" spans="1:18" ht="16.5">
      <c r="A39" s="1" t="s">
        <v>152</v>
      </c>
      <c r="B39" s="1" t="s">
        <v>153</v>
      </c>
      <c r="C39" s="7" t="s">
        <v>154</v>
      </c>
      <c r="D39" s="7" t="s">
        <v>155</v>
      </c>
      <c r="E39" s="6">
        <v>1</v>
      </c>
      <c r="F39" s="7" t="s">
        <v>152</v>
      </c>
      <c r="J39" s="13" t="s">
        <v>154</v>
      </c>
      <c r="K39" s="16" t="s">
        <v>152</v>
      </c>
      <c r="L39" s="11" t="s">
        <v>162</v>
      </c>
      <c r="M39" s="13">
        <v>1</v>
      </c>
      <c r="O39" s="19" t="str">
        <f t="shared" si="0"/>
        <v>Match</v>
      </c>
      <c r="P39" s="19" t="str">
        <f t="shared" si="1"/>
        <v>Match</v>
      </c>
      <c r="Q39" s="19" t="str">
        <f t="shared" si="2"/>
        <v>Mismatch</v>
      </c>
      <c r="R39" s="19" t="str">
        <f t="shared" si="3"/>
        <v>Match</v>
      </c>
    </row>
    <row r="40" spans="1:18" ht="16.5">
      <c r="A40" s="1" t="s">
        <v>156</v>
      </c>
      <c r="B40" s="1" t="s">
        <v>157</v>
      </c>
      <c r="C40" s="7" t="s">
        <v>158</v>
      </c>
      <c r="D40" s="7" t="s">
        <v>156</v>
      </c>
      <c r="E40" s="6">
        <v>1</v>
      </c>
      <c r="F40" s="7" t="s">
        <v>156</v>
      </c>
      <c r="J40" s="12" t="s">
        <v>158</v>
      </c>
      <c r="K40" s="15" t="s">
        <v>156</v>
      </c>
      <c r="L40" s="10" t="s">
        <v>162</v>
      </c>
      <c r="M40" s="12">
        <v>1</v>
      </c>
      <c r="O40" s="19" t="str">
        <f t="shared" si="0"/>
        <v>Match</v>
      </c>
      <c r="P40" s="19" t="str">
        <f t="shared" si="1"/>
        <v>Match</v>
      </c>
      <c r="Q40" s="19" t="str">
        <f t="shared" si="2"/>
        <v>Mismatch</v>
      </c>
      <c r="R40" s="19" t="str">
        <f t="shared" si="3"/>
        <v>Match</v>
      </c>
    </row>
    <row r="41" spans="1:18" ht="16.5">
      <c r="A41" s="1" t="s">
        <v>159</v>
      </c>
      <c r="B41" s="1" t="s">
        <v>160</v>
      </c>
      <c r="C41" s="7" t="s">
        <v>161</v>
      </c>
      <c r="D41" s="7" t="s">
        <v>159</v>
      </c>
      <c r="E41" s="6">
        <v>1</v>
      </c>
      <c r="F41" s="7" t="s">
        <v>159</v>
      </c>
      <c r="J41" s="13" t="s">
        <v>161</v>
      </c>
      <c r="K41" s="16" t="s">
        <v>159</v>
      </c>
      <c r="L41" s="11" t="s">
        <v>162</v>
      </c>
      <c r="M41" s="13">
        <v>1</v>
      </c>
      <c r="O41" s="19" t="str">
        <f t="shared" si="0"/>
        <v>Match</v>
      </c>
      <c r="P41" s="19" t="str">
        <f t="shared" si="1"/>
        <v>Match</v>
      </c>
      <c r="Q41" s="19" t="str">
        <f t="shared" si="2"/>
        <v>Mismatch</v>
      </c>
      <c r="R41" s="19" t="str">
        <f t="shared" si="3"/>
        <v>Match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Altium_Generated_ BOM_Interface</vt:lpstr>
      <vt:lpstr>'Altium_Generated_ BOM_Interface'!Print_Titles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2022-08-23T15:39:56Z</dcterms:created>
  <dcterms:modified xsi:type="dcterms:W3CDTF">2022-08-23T16:39:25Z</dcterms:modified>
</cp:coreProperties>
</file>