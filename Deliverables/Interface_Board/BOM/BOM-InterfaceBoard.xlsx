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XPENDER\Documents\GitHub\ChristianRaun-EthercatDesign\Documents\Client-Files\Client BOM\"/>
    </mc:Choice>
  </mc:AlternateContent>
  <bookViews>
    <workbookView xWindow="-105" yWindow="-105" windowWidth="23250" windowHeight="1401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7" i="1" l="1"/>
  <c r="M11" i="1"/>
  <c r="M34" i="1" l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19" i="1"/>
  <c r="M18" i="1"/>
  <c r="M16" i="1"/>
  <c r="M15" i="1"/>
  <c r="M14" i="1"/>
  <c r="M13" i="1"/>
  <c r="M12" i="1"/>
  <c r="M10" i="1"/>
  <c r="M9" i="1"/>
  <c r="M8" i="1"/>
  <c r="M7" i="1"/>
  <c r="M6" i="1"/>
  <c r="M5" i="1"/>
  <c r="M4" i="1"/>
  <c r="A4" i="1"/>
  <c r="A5" i="1" s="1"/>
  <c r="A6" i="1" s="1"/>
  <c r="A7" i="1" s="1"/>
  <c r="A8" i="1" s="1"/>
  <c r="A9" i="1" s="1"/>
  <c r="A10" i="1" s="1"/>
  <c r="A13" i="1" s="1"/>
  <c r="A14" i="1" s="1"/>
  <c r="A15" i="1" s="1"/>
  <c r="A16" i="1" s="1"/>
  <c r="A19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M3" i="1"/>
</calcChain>
</file>

<file path=xl/sharedStrings.xml><?xml version="1.0" encoding="utf-8"?>
<sst xmlns="http://schemas.openxmlformats.org/spreadsheetml/2006/main" count="292" uniqueCount="232">
  <si>
    <t>Bill of Material (BOM)</t>
  </si>
  <si>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</si>
  <si>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</si>
  <si>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</si>
  <si>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</si>
  <si>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</si>
  <si>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</si>
  <si>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</si>
  <si>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 xml:space="preserve">LCSC Part No </t>
  </si>
  <si>
    <t>Alternate</t>
  </si>
  <si>
    <t>Value</t>
  </si>
  <si>
    <t>Ordered Quantity</t>
  </si>
  <si>
    <t>Quantity (Per Board)</t>
  </si>
  <si>
    <t>Quantity 400</t>
  </si>
  <si>
    <t xml:space="preserve">MOKO  Question </t>
  </si>
  <si>
    <t>Capacitor</t>
  </si>
  <si>
    <t>CAP CER 0.1UF 100V X7R 0603</t>
  </si>
  <si>
    <t>C34, C35, C37, C40</t>
  </si>
  <si>
    <t>Cap0603</t>
  </si>
  <si>
    <t>CC0603KRX7R0BB104</t>
  </si>
  <si>
    <t>Yageo</t>
  </si>
  <si>
    <t>C113803</t>
  </si>
  <si>
    <t>0.1uF</t>
  </si>
  <si>
    <t>CAP CER 1UF 100V X7S 0805</t>
  </si>
  <si>
    <t>C45</t>
  </si>
  <si>
    <t>Cap0805</t>
  </si>
  <si>
    <t>GCM21BC72A105KE36L</t>
  </si>
  <si>
    <t>Murata</t>
  </si>
  <si>
    <t>C2842838</t>
  </si>
  <si>
    <t>1uF</t>
  </si>
  <si>
    <r>
      <t xml:space="preserve">We will use the replacement of C0805X105K101T 1uF 100V ±10% 0805  HEC X7R RoHs ,
pls confirm if ok? 
Alternative manufacturer part number:  </t>
    </r>
    <r>
      <rPr>
        <b/>
        <sz val="12"/>
        <color theme="1"/>
        <rFont val="Arial"/>
        <charset val="134"/>
      </rPr>
      <t xml:space="preserve">C0805X105K101T </t>
    </r>
  </si>
  <si>
    <t>CAP CER 10PF 50V C0G/NP0 0603</t>
  </si>
  <si>
    <t>C48, C49, C50, C51, C52, C53, C54, C55</t>
  </si>
  <si>
    <t>06035A100JAT2A</t>
  </si>
  <si>
    <t>Kyocera AVX</t>
  </si>
  <si>
    <t>C525235</t>
  </si>
  <si>
    <t>FN18N100J500PSG</t>
  </si>
  <si>
    <t>10pF</t>
  </si>
  <si>
    <t>CAP CER 0.022UF 100V X7R 0603</t>
  </si>
  <si>
    <t>C36, C56, C57</t>
  </si>
  <si>
    <t>CGA3E2X7R2A223K080AA</t>
  </si>
  <si>
    <t xml:space="preserve">TDK </t>
  </si>
  <si>
    <t>C21122</t>
  </si>
  <si>
    <t xml:space="preserve">CL10B223KB8NNNC
</t>
  </si>
  <si>
    <t>22nF</t>
  </si>
  <si>
    <t xml:space="preserve">You required is car class, we will use the specifications  of  capacitor are same with your shared, we will source as ordinary if ok? </t>
  </si>
  <si>
    <t>CAP CER 2.2UF 50V X5R 0603</t>
  </si>
  <si>
    <t>C38</t>
  </si>
  <si>
    <t>UMK107BBJ225MA-T</t>
  </si>
  <si>
    <t xml:space="preserve">Taiyo Yuden
</t>
  </si>
  <si>
    <t>C268016</t>
  </si>
  <si>
    <t xml:space="preserve">UMK107BBJ225KA-T
</t>
  </si>
  <si>
    <t>2.2uF</t>
  </si>
  <si>
    <t>25V 5mm 10mm 100uF 100kHz SMD,5x10mm Aluminum Electrolytic Cap- SMD ROHS</t>
  </si>
  <si>
    <t>C43</t>
  </si>
  <si>
    <t>Custom</t>
  </si>
  <si>
    <t>VKMB1001E101MV</t>
  </si>
  <si>
    <t xml:space="preserve">Ymin </t>
  </si>
  <si>
    <t>C487322</t>
  </si>
  <si>
    <t>------------</t>
  </si>
  <si>
    <t>100uF</t>
  </si>
  <si>
    <t>We will use the replacement of 100uF 25V ±20% 6.3*5.4mm SMD 105° life 2000H RoHs, pls confirm if ok?
Sorry no manufacturer part number, just description..</t>
  </si>
  <si>
    <t>63V 10mm 8mm 100uF ±20% ,8x10mm Aluminum Electrolytic Cap</t>
  </si>
  <si>
    <t>C44, C79</t>
  </si>
  <si>
    <t>VKMD1001J101MV</t>
  </si>
  <si>
    <t>C487384</t>
  </si>
  <si>
    <t>CAP ALUM 10uF 25V SMD</t>
  </si>
  <si>
    <t>C46</t>
  </si>
  <si>
    <t>RVT1E100M0405</t>
  </si>
  <si>
    <t>Honor Elec</t>
  </si>
  <si>
    <t>C3343</t>
  </si>
  <si>
    <t>10uF</t>
  </si>
  <si>
    <t>We will use the replacement of 10uF 25V ±20% 4.0*5.4mm SMD VT 105° life 2000H, 
pls confirm if ok?
Sorry no manufacturer part number, just description..</t>
  </si>
  <si>
    <t>C2</t>
  </si>
  <si>
    <t>22uF</t>
  </si>
  <si>
    <r>
      <t xml:space="preserve">We will use the replacement of TAJA226K010RNJ 22uF 10V ±10% A model SMD AVX ,pls confirm if ok?
Alternative manufacturer part number: </t>
    </r>
    <r>
      <rPr>
        <b/>
        <sz val="12"/>
        <color theme="1"/>
        <rFont val="Arial"/>
        <charset val="134"/>
      </rPr>
      <t xml:space="preserve">TAJA226K010RNJ </t>
    </r>
  </si>
  <si>
    <t xml:space="preserve">CAP CER 1000PF 2KV X7R 1206
</t>
  </si>
  <si>
    <t>C58</t>
  </si>
  <si>
    <t>Cap1206</t>
  </si>
  <si>
    <t>CC1206KKX7RDBB102</t>
  </si>
  <si>
    <t>YAGEO</t>
  </si>
  <si>
    <t>C23631</t>
  </si>
  <si>
    <t>1000pF</t>
  </si>
  <si>
    <r>
      <t xml:space="preserve">We will use replacement of FV31X102K202ECG 1nF 2KV ±10% 1206 SMD PDC,pls confirm if ok?
Alternative manufacturer part number: </t>
    </r>
    <r>
      <rPr>
        <b/>
        <sz val="12"/>
        <color theme="1"/>
        <rFont val="Arial"/>
        <charset val="134"/>
      </rPr>
      <t>FV31X102K202ECG</t>
    </r>
  </si>
  <si>
    <t>Diode</t>
  </si>
  <si>
    <t xml:space="preserve">DIODE SCHOTTKY 30V 3A CFP5
</t>
  </si>
  <si>
    <t>D2</t>
  </si>
  <si>
    <t xml:space="preserve">SOD-128
</t>
  </si>
  <si>
    <t>PMEG3030EP,115</t>
  </si>
  <si>
    <t xml:space="preserve">Nexperia </t>
  </si>
  <si>
    <t>C255587</t>
  </si>
  <si>
    <t>-----</t>
  </si>
  <si>
    <t>SOD-523 Schottky Barrier Diodes (SBD) ROHS</t>
  </si>
  <si>
    <t>D3</t>
  </si>
  <si>
    <t>SOD-523</t>
  </si>
  <si>
    <t>MSK4010</t>
  </si>
  <si>
    <t>Tak Cheong</t>
  </si>
  <si>
    <t>C968723</t>
  </si>
  <si>
    <t>Mosfet</t>
  </si>
  <si>
    <t>MOSFET N-CH 20V 4.2A SOT23</t>
  </si>
  <si>
    <t>Q1</t>
  </si>
  <si>
    <t>SOT-23</t>
  </si>
  <si>
    <t>IRLML2502TRPBF</t>
  </si>
  <si>
    <t xml:space="preserve"> INFINEON</t>
  </si>
  <si>
    <t>Inductor</t>
  </si>
  <si>
    <t>FIXED IND 33UH 2.5A 189.2MOHM SM</t>
  </si>
  <si>
    <t>L10</t>
  </si>
  <si>
    <t>ETQ-P4M330YFN</t>
  </si>
  <si>
    <t xml:space="preserve">Panasonic </t>
  </si>
  <si>
    <r>
      <t>We will use the replacement of SMMS0650-330M SXN, pls confirm the datasheet if ok?
Alternative manufacturer part number:</t>
    </r>
    <r>
      <rPr>
        <b/>
        <sz val="12"/>
        <rFont val="Arial"/>
        <charset val="134"/>
      </rPr>
      <t>SMMS0650-330M</t>
    </r>
    <r>
      <rPr>
        <sz val="12"/>
        <rFont val="Arial"/>
        <charset val="134"/>
      </rPr>
      <t xml:space="preserve"> </t>
    </r>
  </si>
  <si>
    <t>Resistor</t>
  </si>
  <si>
    <t>RES SMD 10K OHM 5% 1/10W 0603</t>
  </si>
  <si>
    <t>R1,R18</t>
  </si>
  <si>
    <t>Res0603</t>
  </si>
  <si>
    <t>AC0603JR-0710KL</t>
  </si>
  <si>
    <t>C140867</t>
  </si>
  <si>
    <t>10K</t>
  </si>
  <si>
    <t xml:space="preserve">You required is car class, we will use the specifications  of  resistor are same with your shared, we will source as ordinary if ok? </t>
  </si>
  <si>
    <t>RES  SMD 330R 100 mW 0603</t>
  </si>
  <si>
    <t xml:space="preserve"> R33, R39</t>
  </si>
  <si>
    <t>RC0603JR-07330RL</t>
  </si>
  <si>
    <t>C105879</t>
  </si>
  <si>
    <t>330R</t>
  </si>
  <si>
    <t>RES SMD 1K OHM 1% 1/10W 0603</t>
  </si>
  <si>
    <t>R21, R22, R29</t>
  </si>
  <si>
    <t>RC0603FR-071KL</t>
  </si>
  <si>
    <t>C22548</t>
  </si>
  <si>
    <t>1K</t>
  </si>
  <si>
    <t>RES SMD ±5% ±200ppm/℃ 0.18Ω 1W 2512</t>
  </si>
  <si>
    <t>R19, R20</t>
  </si>
  <si>
    <t>RES 2512</t>
  </si>
  <si>
    <t>RTT25R18JTE</t>
  </si>
  <si>
    <t xml:space="preserve">
RALEC</t>
  </si>
  <si>
    <t>C159165</t>
  </si>
  <si>
    <t>180m</t>
  </si>
  <si>
    <t>RES 0.075 OHM 1% 2W 2512</t>
  </si>
  <si>
    <t>R27</t>
  </si>
  <si>
    <t>CSRN2512FK75L0</t>
  </si>
  <si>
    <t xml:space="preserve">Stackpole </t>
  </si>
  <si>
    <t>C705611</t>
  </si>
  <si>
    <t xml:space="preserve">RL2512FK-070R075L
</t>
  </si>
  <si>
    <t>75m</t>
  </si>
  <si>
    <t>We will use the replacement of 0.075R ±1% 2512 SMD UniOhm power 1W, pls confirm if ok?</t>
  </si>
  <si>
    <t>RES SMD 9kΩ ±100ppm/℃ 0.125W 0805</t>
  </si>
  <si>
    <t>R28</t>
  </si>
  <si>
    <t>0805W8F9001T5E</t>
  </si>
  <si>
    <t>UNI-ROYAL</t>
  </si>
  <si>
    <t>C247026</t>
  </si>
  <si>
    <t>9K</t>
  </si>
  <si>
    <t>The original of resistor value 9K is not commonly used. we will use resistor of 9.1K ± 1% 0805 SMD UniOhm, 
pls confirm if ok?
Sorry no manufacturer part number, just description..</t>
  </si>
  <si>
    <t xml:space="preserve">RES 49.9K OHM 1% 1/10W 0603
</t>
  </si>
  <si>
    <t>R30, R31, R32, R34, R35, R36, R37, R38</t>
  </si>
  <si>
    <t>RC0603FR-0749K9L</t>
  </si>
  <si>
    <t>C114624</t>
  </si>
  <si>
    <t>49K9</t>
  </si>
  <si>
    <t>IC</t>
  </si>
  <si>
    <t xml:space="preserve">IC MTR DRV BIPOLAR 5.5-36V 32QFN
</t>
  </si>
  <si>
    <t>U3</t>
  </si>
  <si>
    <t>32-QFN (5x5)</t>
  </si>
  <si>
    <t>TMC2202-WA-T</t>
  </si>
  <si>
    <t xml:space="preserve">Trinamic </t>
  </si>
  <si>
    <t>2A 40V SOIC-8_EP_150mil DC-DC Converters ROHS</t>
  </si>
  <si>
    <t>U7</t>
  </si>
  <si>
    <t>8-SOIC</t>
  </si>
  <si>
    <t>XL4001E1</t>
  </si>
  <si>
    <t xml:space="preserve">XLSEMI </t>
  </si>
  <si>
    <t>C73347</t>
  </si>
  <si>
    <t xml:space="preserve">IC REG LINEAR 3.3V 1A SOT223
</t>
  </si>
  <si>
    <t>U1</t>
  </si>
  <si>
    <t xml:space="preserve">SOT-223-3
</t>
  </si>
  <si>
    <t>AZ1117CH-3.3TRG1</t>
  </si>
  <si>
    <t xml:space="preserve">Diodes </t>
  </si>
  <si>
    <t>C92102</t>
  </si>
  <si>
    <t>Connector</t>
  </si>
  <si>
    <t>P=2.54mm Female Headers,SMD,ROHS</t>
  </si>
  <si>
    <t>J1</t>
  </si>
  <si>
    <t>PHF254SMD-x</t>
  </si>
  <si>
    <t>RTLECS</t>
  </si>
  <si>
    <t xml:space="preserve">Pls help to provide the completed details for female header. </t>
  </si>
  <si>
    <t>10/100 BASE-TX RJ45 WITH LEDS_x000D_
INTEGRATED MAGNETICS CONNECTOR</t>
  </si>
  <si>
    <t>J2, J3</t>
  </si>
  <si>
    <t>SK07-111071ENL</t>
  </si>
  <si>
    <t>SAK ELECTRONICS CO.,LTD</t>
  </si>
  <si>
    <t>CONN HEADER 4 POS 2.54mm SMD</t>
  </si>
  <si>
    <t>J4</t>
  </si>
  <si>
    <t>1125N1202SNM</t>
  </si>
  <si>
    <t xml:space="preserve">Pls help to provide the completed details for the header. </t>
  </si>
  <si>
    <t>2.54mm Straight 1 4 Header TH,P=2.54mm Pin Headers ROHS</t>
  </si>
  <si>
    <t>P1</t>
  </si>
  <si>
    <t>HDR1X4</t>
  </si>
  <si>
    <t>MTP125-1104S1</t>
  </si>
  <si>
    <t>MINTRON</t>
  </si>
  <si>
    <t>C358686</t>
  </si>
  <si>
    <t>We will use the heder 1*4p spacing2.54mm pin height 6.0mm plastic height2.5mm  DIP-4  MXH(CN) 260° RoHs,
pls confirm if ok?
Sorry no manufacturer part number, just description., we wil custom.</t>
  </si>
  <si>
    <t>CONN HEADER VERT 2POS 2.54MM</t>
  </si>
  <si>
    <t>P2, P3</t>
  </si>
  <si>
    <t>HDR1X2</t>
  </si>
  <si>
    <t>826629-2</t>
  </si>
  <si>
    <t>TE Connectivity</t>
  </si>
  <si>
    <t>C86471</t>
  </si>
  <si>
    <t>We will use the header 1*2p spacing 2.54mm pin height 6.0mm plastic height 2.5mm DIP-2  MXH(CN) 260° RoHs ,
pls confirm if ok?
Sorry no manufacturer part number, just description., we wil custom.</t>
  </si>
  <si>
    <t>ss</t>
  </si>
  <si>
    <t>Ruby Designer's Remarks</t>
  </si>
  <si>
    <t>OK</t>
  </si>
  <si>
    <t>This is OK. Please also confirm if the ordinary part is CL10B223KB8NNN</t>
  </si>
  <si>
    <t>Not recommended. Different Footprint Package</t>
  </si>
  <si>
    <r>
      <t xml:space="preserve">Please make sure the Voltage Rating, Value, </t>
    </r>
    <r>
      <rPr>
        <b/>
        <sz val="11"/>
        <color rgb="FFFF0000"/>
        <rFont val="Calibri"/>
        <family val="2"/>
        <scheme val="minor"/>
      </rPr>
      <t>Footprint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Package</t>
    </r>
    <r>
      <rPr>
        <sz val="11"/>
        <color rgb="FFFF0000"/>
        <rFont val="Calibri"/>
        <family val="2"/>
        <scheme val="minor"/>
      </rPr>
      <t xml:space="preserve"> and Temperature ratings are same. Rest may vary. Please share part number to make sure the </t>
    </r>
    <r>
      <rPr>
        <b/>
        <sz val="11"/>
        <color rgb="FFFF0000"/>
        <rFont val="Calibri"/>
        <family val="2"/>
        <scheme val="minor"/>
      </rPr>
      <t xml:space="preserve">Footprint </t>
    </r>
    <r>
      <rPr>
        <sz val="11"/>
        <color rgb="FFFF0000"/>
        <rFont val="Calibri"/>
        <family val="2"/>
        <scheme val="minor"/>
      </rPr>
      <t>is same</t>
    </r>
  </si>
  <si>
    <t>Please provide Part Number for review</t>
  </si>
  <si>
    <t>The suggested value will be fine. Please share part number for footprint comparison</t>
  </si>
  <si>
    <t>SMD Dual Row 2x2 4-Pin 2.54mm Male Header is required</t>
  </si>
  <si>
    <t>SMD Dual Row 13x2 26-Pin 2.54mm Female Header is required</t>
  </si>
  <si>
    <t>Confirm</t>
  </si>
  <si>
    <t>Please change number of pins to 1*6P, the other specifications remain same</t>
  </si>
  <si>
    <t>GRM188R61E106MA73J</t>
  </si>
  <si>
    <t>CAP CER 22UF 25V X5R 0805</t>
  </si>
  <si>
    <t>CAP CER 10UF 25V X5R 0603</t>
  </si>
  <si>
    <t>C1</t>
  </si>
  <si>
    <t>CC0805MKX5R8BB226</t>
  </si>
  <si>
    <t>C784585</t>
  </si>
  <si>
    <t>IND SMD 1.5A 2.2uH ±20% 135mΩ</t>
  </si>
  <si>
    <t>L1</t>
  </si>
  <si>
    <t>MCS20FC-2R2MMP</t>
  </si>
  <si>
    <t xml:space="preserve"> R2</t>
  </si>
  <si>
    <t>CRGH0603J100K</t>
  </si>
  <si>
    <t>C2074142</t>
  </si>
  <si>
    <t>RES SMD 100K OHM 5% 1/5W 0603</t>
  </si>
  <si>
    <t>100K</t>
  </si>
  <si>
    <t xml:space="preserve">                </t>
  </si>
  <si>
    <t>PSA(Prosperity Dielectrics)</t>
  </si>
  <si>
    <t>C375949</t>
  </si>
  <si>
    <t xml:space="preserve"> 2.2uH</t>
  </si>
  <si>
    <t>33uH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</si>
</sst>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409]* #,##0.00_ ;_-[$$-409]* \-#,##0.00\ ;_-[$$-409]* &quot;-&quot;??_ ;_-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333333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sz val="12"/>
      <color theme="1"/>
      <name val="Arial"/>
      <charset val="134"/>
    </font>
    <font>
      <b/>
      <sz val="11"/>
      <color rgb="FFFF0000"/>
      <name val="Calibri"/>
      <charset val="134"/>
      <scheme val="minor"/>
    </font>
    <font>
      <b/>
      <strike/>
      <sz val="11"/>
      <color rgb="FFFF0000"/>
      <name val="Calibri"/>
      <charset val="134"/>
      <scheme val="minor"/>
    </font>
    <font>
      <sz val="12"/>
      <name val="Arial"/>
      <charset val="134"/>
    </font>
    <font>
      <b/>
      <sz val="12"/>
      <color theme="1"/>
      <name val="Arial"/>
      <charset val="134"/>
    </font>
    <font>
      <b/>
      <sz val="12"/>
      <name val="Arial"/>
      <charset val="134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medium">
        <color auto="1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0" xfId="0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4" borderId="1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0" fillId="4" borderId="16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4" borderId="2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 wrapText="1"/>
    </xf>
    <xf numFmtId="0" fontId="0" fillId="0" borderId="0" xfId="0" applyFont="1"/>
    <xf numFmtId="0" fontId="9" fillId="0" borderId="11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/>
    </xf>
    <xf numFmtId="0" fontId="6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left" vertical="center" wrapText="1"/>
    </xf>
    <xf numFmtId="0" fontId="10" fillId="0" borderId="11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left" vertical="center" wrapText="1"/>
    </xf>
    <xf numFmtId="0" fontId="6" fillId="0" borderId="8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164" fontId="11" fillId="4" borderId="16" xfId="0" applyNumberFormat="1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 wrapText="1"/>
    </xf>
    <xf numFmtId="164" fontId="9" fillId="4" borderId="8" xfId="0" applyNumberFormat="1" applyFont="1" applyFill="1" applyBorder="1" applyAlignment="1">
      <alignment horizontal="left" vertical="center"/>
    </xf>
    <xf numFmtId="164" fontId="11" fillId="4" borderId="11" xfId="0" applyNumberFormat="1" applyFont="1" applyFill="1" applyBorder="1" applyAlignment="1">
      <alignment horizontal="center" vertical="center"/>
    </xf>
    <xf numFmtId="164" fontId="9" fillId="4" borderId="11" xfId="0" applyNumberFormat="1" applyFont="1" applyFill="1" applyBorder="1" applyAlignment="1">
      <alignment horizontal="left" vertical="center"/>
    </xf>
    <xf numFmtId="164" fontId="9" fillId="4" borderId="11" xfId="0" applyNumberFormat="1" applyFont="1" applyFill="1" applyBorder="1" applyAlignment="1">
      <alignment horizontal="left" vertical="center" wrapText="1"/>
    </xf>
    <xf numFmtId="0" fontId="8" fillId="0" borderId="0" xfId="0" applyFont="1"/>
    <xf numFmtId="0" fontId="2" fillId="4" borderId="19" xfId="0" applyFont="1" applyFill="1" applyBorder="1" applyAlignment="1">
      <alignment vertical="center"/>
    </xf>
    <xf numFmtId="0" fontId="0" fillId="0" borderId="7" xfId="0" quotePrefix="1" applyFont="1" applyFill="1" applyBorder="1" applyAlignment="1">
      <alignment horizontal="left" vertical="center"/>
    </xf>
    <xf numFmtId="0" fontId="0" fillId="0" borderId="8" xfId="0" quotePrefix="1" applyFont="1" applyFill="1" applyBorder="1" applyAlignment="1">
      <alignment horizontal="center" vertical="center"/>
    </xf>
    <xf numFmtId="0" fontId="0" fillId="4" borderId="8" xfId="0" quotePrefix="1" applyFont="1" applyFill="1" applyBorder="1" applyAlignment="1">
      <alignment horizontal="center" vertical="center"/>
    </xf>
    <xf numFmtId="0" fontId="0" fillId="0" borderId="10" xfId="0" quotePrefix="1" applyFont="1" applyFill="1" applyBorder="1" applyAlignment="1">
      <alignment horizontal="left" vertical="center"/>
    </xf>
    <xf numFmtId="0" fontId="0" fillId="0" borderId="11" xfId="0" quotePrefix="1" applyFont="1" applyFill="1" applyBorder="1" applyAlignment="1">
      <alignment horizontal="center" vertical="center"/>
    </xf>
    <xf numFmtId="0" fontId="0" fillId="4" borderId="11" xfId="0" quotePrefix="1" applyFont="1" applyFill="1" applyBorder="1" applyAlignment="1">
      <alignment horizontal="center" vertical="center"/>
    </xf>
    <xf numFmtId="0" fontId="0" fillId="0" borderId="10" xfId="0" quotePrefix="1" applyFont="1" applyBorder="1" applyAlignment="1">
      <alignment horizontal="left" vertical="center"/>
    </xf>
    <xf numFmtId="0" fontId="0" fillId="0" borderId="11" xfId="0" quotePrefix="1" applyFont="1" applyBorder="1" applyAlignment="1">
      <alignment horizontal="center" vertical="center"/>
    </xf>
    <xf numFmtId="0" fontId="6" fillId="0" borderId="11" xfId="0" quotePrefix="1" applyFont="1" applyBorder="1" applyAlignment="1">
      <alignment horizontal="center" vertical="center"/>
    </xf>
    <xf numFmtId="0" fontId="0" fillId="4" borderId="11" xfId="0" quotePrefix="1" applyFont="1" applyFill="1" applyBorder="1" applyAlignment="1">
      <alignment horizontal="center" vertical="center" wrapText="1"/>
    </xf>
    <xf numFmtId="0" fontId="6" fillId="4" borderId="11" xfId="0" quotePrefix="1" applyFont="1" applyFill="1" applyBorder="1" applyAlignment="1">
      <alignment horizontal="center" vertical="center"/>
    </xf>
    <xf numFmtId="0" fontId="0" fillId="0" borderId="13" xfId="0" quotePrefix="1" applyFont="1" applyBorder="1" applyAlignment="1">
      <alignment horizontal="left" vertical="center"/>
    </xf>
    <xf numFmtId="0" fontId="0" fillId="0" borderId="14" xfId="0" quotePrefix="1" applyFont="1" applyBorder="1" applyAlignment="1">
      <alignment horizontal="center" vertical="center"/>
    </xf>
    <xf numFmtId="0" fontId="0" fillId="4" borderId="14" xfId="0" quotePrefix="1" applyFont="1" applyFill="1" applyBorder="1" applyAlignment="1">
      <alignment horizontal="center" vertical="center"/>
    </xf>
    <xf numFmtId="0" fontId="6" fillId="0" borderId="14" xfId="0" quotePrefix="1" applyFont="1" applyBorder="1" applyAlignment="1">
      <alignment horizontal="center" vertical="center"/>
    </xf>
    <xf numFmtId="0" fontId="6" fillId="4" borderId="14" xfId="0" quotePrefix="1" applyFont="1" applyFill="1" applyBorder="1" applyAlignment="1">
      <alignment horizontal="center" vertical="center"/>
    </xf>
    <xf numFmtId="0" fontId="0" fillId="0" borderId="7" xfId="0" quotePrefix="1" applyFont="1" applyBorder="1" applyAlignment="1">
      <alignment horizontal="left" vertical="center"/>
    </xf>
    <xf numFmtId="0" fontId="0" fillId="0" borderId="8" xfId="0" quotePrefix="1" applyFont="1" applyBorder="1" applyAlignment="1">
      <alignment horizontal="center" vertical="center"/>
    </xf>
    <xf numFmtId="0" fontId="6" fillId="4" borderId="8" xfId="0" quotePrefix="1" applyFont="1" applyFill="1" applyBorder="1" applyAlignment="1">
      <alignment horizontal="center" vertical="center"/>
    </xf>
    <xf numFmtId="0" fontId="6" fillId="0" borderId="8" xfId="0" quotePrefix="1" applyFont="1" applyBorder="1" applyAlignment="1">
      <alignment horizontal="center" vertical="center"/>
    </xf>
    <xf numFmtId="0" fontId="0" fillId="4" borderId="15" xfId="0" quotePrefix="1" applyFont="1" applyFill="1" applyBorder="1" applyAlignment="1">
      <alignment horizontal="left" vertical="center"/>
    </xf>
    <xf numFmtId="0" fontId="0" fillId="4" borderId="16" xfId="0" quotePrefix="1" applyFont="1" applyFill="1" applyBorder="1" applyAlignment="1">
      <alignment horizontal="center" vertical="center"/>
    </xf>
    <xf numFmtId="0" fontId="6" fillId="4" borderId="16" xfId="0" quotePrefix="1" applyFont="1" applyFill="1" applyBorder="1" applyAlignment="1">
      <alignment horizontal="center" vertical="center"/>
    </xf>
    <xf numFmtId="0" fontId="0" fillId="4" borderId="7" xfId="0" quotePrefix="1" applyFont="1" applyFill="1" applyBorder="1" applyAlignment="1">
      <alignment horizontal="left" vertical="center"/>
    </xf>
    <xf numFmtId="0" fontId="0" fillId="4" borderId="10" xfId="0" quotePrefix="1" applyFont="1" applyFill="1" applyBorder="1" applyAlignment="1">
      <alignment horizontal="left" vertical="center"/>
    </xf>
    <xf numFmtId="0" fontId="0" fillId="4" borderId="13" xfId="0" quotePrefix="1" applyFont="1" applyFill="1" applyBorder="1" applyAlignment="1">
      <alignment horizontal="left" vertical="center"/>
    </xf>
    <xf numFmtId="0" fontId="15" fillId="0" borderId="11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164" fontId="17" fillId="4" borderId="11" xfId="0" applyNumberFormat="1" applyFont="1" applyFill="1" applyBorder="1" applyAlignment="1">
      <alignment vertical="center" wrapText="1"/>
    </xf>
    <xf numFmtId="164" fontId="15" fillId="4" borderId="11" xfId="0" applyNumberFormat="1" applyFont="1" applyFill="1" applyBorder="1" applyAlignment="1">
      <alignment horizontal="center" vertical="center"/>
    </xf>
    <xf numFmtId="0" fontId="17" fillId="0" borderId="18" xfId="0" applyFont="1" applyBorder="1" applyAlignment="1">
      <alignment horizontal="left" vertical="center" wrapText="1"/>
    </xf>
    <xf numFmtId="0" fontId="15" fillId="0" borderId="2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0" fillId="0" borderId="11" xfId="0" quotePrefix="1" applyBorder="1" applyAlignment="1">
      <alignment vertical="center" wrapText="1"/>
    </xf>
    <xf numFmtId="0" fontId="0" fillId="0" borderId="11" xfId="0" quotePrefix="1" applyBorder="1" applyAlignment="1">
      <alignment horizontal="center" vertical="center" wrapText="1"/>
    </xf>
    <xf numFmtId="0" fontId="0" fillId="0" borderId="17" xfId="0" quotePrefix="1" applyBorder="1" applyAlignment="1">
      <alignment horizontal="center" vertical="center" wrapText="1"/>
    </xf>
    <xf numFmtId="0" fontId="6" fillId="4" borderId="22" xfId="0" quotePrefix="1" applyFont="1" applyFill="1" applyBorder="1" applyAlignment="1">
      <alignment horizontal="center" vertical="center"/>
    </xf>
    <xf numFmtId="0" fontId="6" fillId="4" borderId="21" xfId="0" quotePrefix="1" applyFont="1" applyFill="1" applyBorder="1" applyAlignment="1">
      <alignment horizontal="center" vertical="center"/>
    </xf>
    <xf numFmtId="0" fontId="0" fillId="4" borderId="20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left" vertical="center"/>
    </xf>
    <xf numFmtId="0" fontId="1" fillId="4" borderId="20" xfId="0" quotePrefix="1" applyFont="1" applyFill="1" applyBorder="1" applyAlignment="1">
      <alignment horizontal="center" vertical="center"/>
    </xf>
    <xf numFmtId="0" fontId="19" fillId="4" borderId="22" xfId="0" quotePrefix="1" applyFont="1" applyFill="1" applyBorder="1" applyAlignment="1">
      <alignment horizontal="center" vertical="center"/>
    </xf>
    <xf numFmtId="0" fontId="7" fillId="4" borderId="22" xfId="0" quotePrefix="1" applyFont="1" applyFill="1" applyBorder="1" applyAlignment="1">
      <alignment horizontal="center" vertical="center"/>
    </xf>
    <xf numFmtId="0" fontId="0" fillId="4" borderId="22" xfId="0" quotePrefix="1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0" fillId="4" borderId="22" xfId="0" applyFont="1" applyFill="1" applyBorder="1" applyAlignment="1">
      <alignment horizontal="center" vertical="center"/>
    </xf>
    <xf numFmtId="164" fontId="11" fillId="4" borderId="22" xfId="0" applyNumberFormat="1" applyFont="1" applyFill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7" fillId="4" borderId="23" xfId="0" quotePrefix="1" applyFont="1" applyFill="1" applyBorder="1" applyAlignment="1">
      <alignment horizontal="left" vertical="center"/>
    </xf>
    <xf numFmtId="0" fontId="7" fillId="4" borderId="14" xfId="0" quotePrefix="1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18" fillId="4" borderId="14" xfId="0" applyFont="1" applyFill="1" applyBorder="1" applyAlignment="1">
      <alignment horizontal="left" vertical="center" wrapText="1"/>
    </xf>
    <xf numFmtId="0" fontId="15" fillId="0" borderId="14" xfId="0" applyFont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 vertical="center"/>
    </xf>
    <xf numFmtId="0" fontId="6" fillId="4" borderId="18" xfId="0" quotePrefix="1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1" fillId="0" borderId="17" xfId="0" quotePrefix="1" applyFont="1" applyBorder="1" applyAlignment="1">
      <alignment vertical="center" wrapText="1"/>
    </xf>
    <xf numFmtId="0" fontId="19" fillId="4" borderId="14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7"/>
  <sheetViews>
    <sheetView tabSelected="1" topLeftCell="D25" zoomScale="85" zoomScaleNormal="85" workbookViewId="0">
      <selection activeCell="K21" sqref="K21"/>
    </sheetView>
  </sheetViews>
  <sheetFormatPr defaultColWidth="34.42578125" defaultRowHeight="51" customHeight="1"/>
  <cols>
    <col min="1" max="1" width="10.42578125" style="1" customWidth="1"/>
    <col min="2" max="2" width="13.5703125" customWidth="1"/>
    <col min="3" max="3" width="30.7109375" customWidth="1"/>
    <col min="4" max="4" width="37.140625" customWidth="1"/>
    <col min="5" max="5" width="10.42578125" customWidth="1"/>
    <col min="6" max="6" width="21.7109375" customWidth="1"/>
    <col min="7" max="7" width="25" customWidth="1"/>
    <col min="8" max="8" width="11.7109375" style="1" customWidth="1"/>
    <col min="9" max="9" width="19.42578125" bestFit="1" customWidth="1"/>
    <col min="10" max="10" width="11.28515625" customWidth="1"/>
    <col min="11" max="11" width="10" customWidth="1"/>
    <col min="12" max="12" width="22.140625" bestFit="1" customWidth="1"/>
    <col min="13" max="13" width="12.85546875" customWidth="1"/>
    <col min="14" max="14" width="131.42578125" bestFit="1" customWidth="1"/>
    <col min="15" max="15" width="38.7109375" customWidth="1"/>
  </cols>
  <sheetData>
    <row r="1" spans="1:30" ht="51" customHeight="1" thickBot="1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50"/>
    </row>
    <row r="2" spans="1:30" ht="51" customHeight="1" thickBot="1">
      <c r="A2" s="2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0" t="s">
        <v>11</v>
      </c>
      <c r="L2" s="3" t="s">
        <v>12</v>
      </c>
      <c r="M2" s="3" t="s">
        <v>13</v>
      </c>
      <c r="N2" s="3" t="s">
        <v>14</v>
      </c>
      <c r="O2" s="3" t="s">
        <v>202</v>
      </c>
    </row>
    <row r="3" spans="1:30" ht="51" customHeight="1" thickBot="1">
      <c r="A3" s="5">
        <v>1</v>
      </c>
      <c r="B3" s="86" t="s">
        <v>15</v>
      </c>
      <c r="C3" s="51" t="s">
        <v>16</v>
      </c>
      <c r="D3" s="6" t="s">
        <v>17</v>
      </c>
      <c r="E3" s="52" t="s">
        <v>18</v>
      </c>
      <c r="F3" s="53" t="s">
        <v>19</v>
      </c>
      <c r="G3" s="52" t="s">
        <v>20</v>
      </c>
      <c r="H3" s="9" t="s">
        <v>21</v>
      </c>
      <c r="I3" s="21"/>
      <c r="J3" s="52" t="s">
        <v>22</v>
      </c>
      <c r="K3" s="21">
        <v>1650</v>
      </c>
      <c r="L3" s="7">
        <v>4</v>
      </c>
      <c r="M3" s="21">
        <f>L3*400</f>
        <v>1600</v>
      </c>
      <c r="N3" s="21"/>
      <c r="O3" s="77"/>
    </row>
    <row r="4" spans="1:30" ht="51" customHeight="1" thickBot="1">
      <c r="A4" s="5">
        <f>A3+1</f>
        <v>2</v>
      </c>
      <c r="B4" s="87"/>
      <c r="C4" s="54" t="s">
        <v>23</v>
      </c>
      <c r="D4" s="55" t="s">
        <v>24</v>
      </c>
      <c r="E4" s="55" t="s">
        <v>25</v>
      </c>
      <c r="F4" s="56" t="s">
        <v>26</v>
      </c>
      <c r="G4" s="55" t="s">
        <v>27</v>
      </c>
      <c r="H4" s="12" t="s">
        <v>28</v>
      </c>
      <c r="I4" s="14"/>
      <c r="J4" s="55" t="s">
        <v>29</v>
      </c>
      <c r="K4" s="14">
        <v>420</v>
      </c>
      <c r="L4" s="10">
        <v>1</v>
      </c>
      <c r="M4" s="14">
        <f t="shared" ref="M4:M34" si="0">L4*400</f>
        <v>400</v>
      </c>
      <c r="N4" s="32" t="s">
        <v>30</v>
      </c>
      <c r="O4" s="77" t="s">
        <v>203</v>
      </c>
    </row>
    <row r="5" spans="1:30" ht="51" customHeight="1" thickBot="1">
      <c r="A5" s="5">
        <f t="shared" ref="A5:A34" si="1">A4+1</f>
        <v>3</v>
      </c>
      <c r="B5" s="87"/>
      <c r="C5" s="54" t="s">
        <v>31</v>
      </c>
      <c r="D5" s="55" t="s">
        <v>32</v>
      </c>
      <c r="E5" s="55" t="s">
        <v>18</v>
      </c>
      <c r="F5" s="56" t="s">
        <v>33</v>
      </c>
      <c r="G5" s="55" t="s">
        <v>34</v>
      </c>
      <c r="H5" s="13" t="s">
        <v>35</v>
      </c>
      <c r="I5" s="13" t="s">
        <v>36</v>
      </c>
      <c r="J5" s="55" t="s">
        <v>37</v>
      </c>
      <c r="K5" s="14">
        <v>3300</v>
      </c>
      <c r="L5" s="10">
        <v>8</v>
      </c>
      <c r="M5" s="14">
        <f t="shared" si="0"/>
        <v>3200</v>
      </c>
      <c r="N5" s="14"/>
      <c r="O5" s="77"/>
    </row>
    <row r="6" spans="1:30" ht="51" customHeight="1" thickBot="1">
      <c r="A6" s="5">
        <f t="shared" si="1"/>
        <v>4</v>
      </c>
      <c r="B6" s="87"/>
      <c r="C6" s="57" t="s">
        <v>38</v>
      </c>
      <c r="D6" s="58" t="s">
        <v>39</v>
      </c>
      <c r="E6" s="58" t="s">
        <v>18</v>
      </c>
      <c r="F6" s="56" t="s">
        <v>40</v>
      </c>
      <c r="G6" s="59" t="s">
        <v>41</v>
      </c>
      <c r="H6" s="16" t="s">
        <v>42</v>
      </c>
      <c r="I6" s="60" t="s">
        <v>43</v>
      </c>
      <c r="J6" s="58" t="s">
        <v>44</v>
      </c>
      <c r="K6" s="14">
        <v>1300</v>
      </c>
      <c r="L6" s="15">
        <v>3</v>
      </c>
      <c r="M6" s="14">
        <f t="shared" si="0"/>
        <v>1200</v>
      </c>
      <c r="N6" s="33" t="s">
        <v>45</v>
      </c>
      <c r="O6" s="81" t="s">
        <v>204</v>
      </c>
    </row>
    <row r="7" spans="1:30" ht="51" customHeight="1" thickBot="1">
      <c r="A7" s="5">
        <f t="shared" si="1"/>
        <v>5</v>
      </c>
      <c r="B7" s="87"/>
      <c r="C7" s="57" t="s">
        <v>46</v>
      </c>
      <c r="D7" s="58" t="s">
        <v>47</v>
      </c>
      <c r="E7" s="58" t="s">
        <v>18</v>
      </c>
      <c r="F7" s="56" t="s">
        <v>48</v>
      </c>
      <c r="G7" s="59" t="s">
        <v>49</v>
      </c>
      <c r="H7" s="16" t="s">
        <v>50</v>
      </c>
      <c r="I7" s="16" t="s">
        <v>51</v>
      </c>
      <c r="J7" s="58" t="s">
        <v>52</v>
      </c>
      <c r="K7" s="14">
        <v>420</v>
      </c>
      <c r="L7" s="15">
        <v>1</v>
      </c>
      <c r="M7" s="14">
        <f t="shared" si="0"/>
        <v>400</v>
      </c>
      <c r="N7" s="14"/>
      <c r="O7" s="77"/>
    </row>
    <row r="8" spans="1:30" ht="75.75" thickBot="1">
      <c r="A8" s="5">
        <f t="shared" si="1"/>
        <v>6</v>
      </c>
      <c r="B8" s="87"/>
      <c r="C8" s="57" t="s">
        <v>53</v>
      </c>
      <c r="D8" s="58" t="s">
        <v>54</v>
      </c>
      <c r="E8" s="58" t="s">
        <v>55</v>
      </c>
      <c r="F8" s="56" t="s">
        <v>56</v>
      </c>
      <c r="G8" s="59" t="s">
        <v>57</v>
      </c>
      <c r="H8" s="16" t="s">
        <v>58</v>
      </c>
      <c r="I8" s="61" t="s">
        <v>59</v>
      </c>
      <c r="J8" s="58" t="s">
        <v>60</v>
      </c>
      <c r="K8" s="14">
        <v>420</v>
      </c>
      <c r="L8" s="34">
        <v>1</v>
      </c>
      <c r="M8" s="14">
        <f t="shared" si="0"/>
        <v>400</v>
      </c>
      <c r="N8" s="35" t="s">
        <v>61</v>
      </c>
      <c r="O8" s="81" t="s">
        <v>206</v>
      </c>
    </row>
    <row r="9" spans="1:30" ht="51" customHeight="1" thickBot="1">
      <c r="A9" s="5">
        <f t="shared" si="1"/>
        <v>7</v>
      </c>
      <c r="B9" s="87"/>
      <c r="C9" s="57" t="s">
        <v>62</v>
      </c>
      <c r="D9" s="58" t="s">
        <v>63</v>
      </c>
      <c r="E9" s="58" t="s">
        <v>55</v>
      </c>
      <c r="F9" s="56" t="s">
        <v>64</v>
      </c>
      <c r="G9" s="59" t="s">
        <v>57</v>
      </c>
      <c r="H9" s="16" t="s">
        <v>65</v>
      </c>
      <c r="I9" s="61" t="s">
        <v>59</v>
      </c>
      <c r="J9" s="58" t="s">
        <v>60</v>
      </c>
      <c r="K9" s="14">
        <v>850</v>
      </c>
      <c r="L9" s="34">
        <v>2</v>
      </c>
      <c r="M9" s="14">
        <f t="shared" si="0"/>
        <v>800</v>
      </c>
      <c r="N9" s="36"/>
      <c r="O9" s="77"/>
    </row>
    <row r="10" spans="1:30" ht="90.75" thickBot="1">
      <c r="A10" s="5">
        <f t="shared" si="1"/>
        <v>8</v>
      </c>
      <c r="B10" s="87"/>
      <c r="C10" s="57" t="s">
        <v>66</v>
      </c>
      <c r="D10" s="58" t="s">
        <v>67</v>
      </c>
      <c r="E10" s="58" t="s">
        <v>55</v>
      </c>
      <c r="F10" s="56" t="s">
        <v>68</v>
      </c>
      <c r="G10" s="59" t="s">
        <v>69</v>
      </c>
      <c r="H10" s="16" t="s">
        <v>70</v>
      </c>
      <c r="I10" s="61" t="s">
        <v>59</v>
      </c>
      <c r="J10" s="58" t="s">
        <v>71</v>
      </c>
      <c r="K10" s="14">
        <v>420</v>
      </c>
      <c r="L10" s="15">
        <v>1</v>
      </c>
      <c r="M10" s="14">
        <f t="shared" si="0"/>
        <v>400</v>
      </c>
      <c r="N10" s="37" t="s">
        <v>72</v>
      </c>
      <c r="O10" s="81" t="s">
        <v>206</v>
      </c>
    </row>
    <row r="11" spans="1:30" ht="15.75" thickBot="1">
      <c r="A11" s="5">
        <v>9</v>
      </c>
      <c r="B11" s="87"/>
      <c r="C11" s="91" t="s">
        <v>215</v>
      </c>
      <c r="D11" s="58" t="s">
        <v>216</v>
      </c>
      <c r="E11" s="58" t="s">
        <v>18</v>
      </c>
      <c r="F11" s="93" t="s">
        <v>213</v>
      </c>
      <c r="G11" s="93" t="s">
        <v>27</v>
      </c>
      <c r="H11" s="95" t="s">
        <v>59</v>
      </c>
      <c r="I11" s="61"/>
      <c r="J11" s="58" t="s">
        <v>71</v>
      </c>
      <c r="K11" s="14">
        <v>420</v>
      </c>
      <c r="L11" s="15">
        <v>1</v>
      </c>
      <c r="M11" s="14">
        <f t="shared" si="0"/>
        <v>400</v>
      </c>
      <c r="N11" s="37"/>
      <c r="O11" s="81"/>
    </row>
    <row r="12" spans="1:30" ht="51" customHeight="1" thickBot="1">
      <c r="A12" s="5">
        <v>10</v>
      </c>
      <c r="B12" s="87"/>
      <c r="C12" s="91" t="s">
        <v>214</v>
      </c>
      <c r="D12" s="58" t="s">
        <v>73</v>
      </c>
      <c r="E12" s="55" t="s">
        <v>25</v>
      </c>
      <c r="F12" s="92" t="s">
        <v>217</v>
      </c>
      <c r="G12" s="92" t="s">
        <v>20</v>
      </c>
      <c r="H12" s="16" t="s">
        <v>218</v>
      </c>
      <c r="I12" s="61" t="s">
        <v>59</v>
      </c>
      <c r="J12" s="58" t="s">
        <v>74</v>
      </c>
      <c r="K12" s="14">
        <v>420</v>
      </c>
      <c r="L12" s="15">
        <v>1</v>
      </c>
      <c r="M12" s="14">
        <f t="shared" si="0"/>
        <v>400</v>
      </c>
      <c r="N12" s="82" t="s">
        <v>75</v>
      </c>
      <c r="O12" s="83" t="s">
        <v>203</v>
      </c>
    </row>
    <row r="13" spans="1:30" ht="51" customHeight="1" thickBot="1">
      <c r="A13" s="5">
        <f t="shared" si="1"/>
        <v>11</v>
      </c>
      <c r="B13" s="90"/>
      <c r="C13" s="62" t="s">
        <v>76</v>
      </c>
      <c r="D13" s="63" t="s">
        <v>77</v>
      </c>
      <c r="E13" s="63" t="s">
        <v>78</v>
      </c>
      <c r="F13" s="64" t="s">
        <v>79</v>
      </c>
      <c r="G13" s="65" t="s">
        <v>80</v>
      </c>
      <c r="H13" s="20" t="s">
        <v>81</v>
      </c>
      <c r="I13" s="66" t="s">
        <v>59</v>
      </c>
      <c r="J13" s="63" t="s">
        <v>82</v>
      </c>
      <c r="K13" s="17">
        <v>450</v>
      </c>
      <c r="L13" s="19">
        <v>1</v>
      </c>
      <c r="M13" s="17">
        <f t="shared" si="0"/>
        <v>400</v>
      </c>
      <c r="N13" s="84" t="s">
        <v>83</v>
      </c>
      <c r="O13" s="83" t="s">
        <v>203</v>
      </c>
    </row>
    <row r="14" spans="1:30" ht="51" customHeight="1" thickBot="1">
      <c r="A14" s="5">
        <f t="shared" si="1"/>
        <v>12</v>
      </c>
      <c r="B14" s="86" t="s">
        <v>84</v>
      </c>
      <c r="C14" s="67" t="s">
        <v>85</v>
      </c>
      <c r="D14" s="68" t="s">
        <v>86</v>
      </c>
      <c r="E14" s="68" t="s">
        <v>87</v>
      </c>
      <c r="F14" s="53" t="s">
        <v>88</v>
      </c>
      <c r="G14" s="68" t="s">
        <v>89</v>
      </c>
      <c r="H14" s="22" t="s">
        <v>90</v>
      </c>
      <c r="I14" s="69" t="s">
        <v>59</v>
      </c>
      <c r="J14" s="70" t="s">
        <v>91</v>
      </c>
      <c r="K14" s="21">
        <v>420</v>
      </c>
      <c r="L14" s="38">
        <v>1</v>
      </c>
      <c r="M14" s="21">
        <f t="shared" si="0"/>
        <v>400</v>
      </c>
      <c r="N14" s="21"/>
      <c r="O14" s="79"/>
    </row>
    <row r="15" spans="1:30" ht="51" customHeight="1" thickBot="1">
      <c r="A15" s="5">
        <f t="shared" si="1"/>
        <v>13</v>
      </c>
      <c r="B15" s="90"/>
      <c r="C15" s="62" t="s">
        <v>92</v>
      </c>
      <c r="D15" s="63" t="s">
        <v>93</v>
      </c>
      <c r="E15" s="63" t="s">
        <v>94</v>
      </c>
      <c r="F15" s="64" t="s">
        <v>95</v>
      </c>
      <c r="G15" s="63" t="s">
        <v>96</v>
      </c>
      <c r="H15" s="66" t="s">
        <v>97</v>
      </c>
      <c r="I15" s="66" t="s">
        <v>59</v>
      </c>
      <c r="J15" s="65" t="s">
        <v>91</v>
      </c>
      <c r="K15" s="17">
        <v>420</v>
      </c>
      <c r="L15" s="39">
        <v>1</v>
      </c>
      <c r="M15" s="17">
        <f t="shared" si="0"/>
        <v>400</v>
      </c>
      <c r="N15" s="40"/>
      <c r="O15" s="78"/>
    </row>
    <row r="16" spans="1:30" ht="51" customHeight="1" thickBot="1">
      <c r="A16" s="5">
        <f t="shared" si="1"/>
        <v>14</v>
      </c>
      <c r="B16" s="23" t="s">
        <v>98</v>
      </c>
      <c r="C16" s="71" t="s">
        <v>99</v>
      </c>
      <c r="D16" s="72" t="s">
        <v>100</v>
      </c>
      <c r="E16" s="72" t="s">
        <v>101</v>
      </c>
      <c r="F16" s="72" t="s">
        <v>102</v>
      </c>
      <c r="G16" s="73" t="s">
        <v>103</v>
      </c>
      <c r="H16" s="73" t="s">
        <v>59</v>
      </c>
      <c r="I16" s="72" t="s">
        <v>59</v>
      </c>
      <c r="J16" s="73" t="s">
        <v>91</v>
      </c>
      <c r="K16" s="25">
        <v>420</v>
      </c>
      <c r="L16" s="25">
        <v>1</v>
      </c>
      <c r="M16" s="24">
        <f t="shared" si="0"/>
        <v>400</v>
      </c>
      <c r="N16" s="41"/>
      <c r="O16" s="80"/>
    </row>
    <row r="17" spans="1:15" ht="51" customHeight="1" thickBot="1">
      <c r="A17" s="5">
        <v>14</v>
      </c>
      <c r="B17" s="86" t="s">
        <v>104</v>
      </c>
      <c r="C17" s="115" t="s">
        <v>219</v>
      </c>
      <c r="D17" s="99" t="s">
        <v>220</v>
      </c>
      <c r="E17" s="100" t="s">
        <v>55</v>
      </c>
      <c r="F17" s="93" t="s">
        <v>221</v>
      </c>
      <c r="G17" s="112" t="s">
        <v>228</v>
      </c>
      <c r="H17" s="114" t="s">
        <v>229</v>
      </c>
      <c r="I17" s="101"/>
      <c r="J17" s="94" t="s">
        <v>230</v>
      </c>
      <c r="K17" s="102">
        <v>420</v>
      </c>
      <c r="L17" s="102">
        <v>1</v>
      </c>
      <c r="M17" s="103">
        <f t="shared" si="0"/>
        <v>400</v>
      </c>
      <c r="N17" s="104"/>
      <c r="O17" s="105"/>
    </row>
    <row r="18" spans="1:15" ht="82.15" customHeight="1" thickBot="1">
      <c r="A18" s="5">
        <v>15</v>
      </c>
      <c r="B18" s="90"/>
      <c r="C18" s="106" t="s">
        <v>105</v>
      </c>
      <c r="D18" s="107" t="s">
        <v>106</v>
      </c>
      <c r="E18" s="107" t="s">
        <v>55</v>
      </c>
      <c r="F18" s="107" t="s">
        <v>107</v>
      </c>
      <c r="G18" s="107" t="s">
        <v>108</v>
      </c>
      <c r="H18" s="113" t="s">
        <v>59</v>
      </c>
      <c r="I18" s="108"/>
      <c r="J18" s="116" t="s">
        <v>231</v>
      </c>
      <c r="K18" s="108">
        <v>420</v>
      </c>
      <c r="L18" s="108">
        <v>1</v>
      </c>
      <c r="M18" s="108">
        <f t="shared" si="0"/>
        <v>400</v>
      </c>
      <c r="N18" s="109" t="s">
        <v>109</v>
      </c>
      <c r="O18" s="110" t="s">
        <v>205</v>
      </c>
    </row>
    <row r="19" spans="1:15" ht="51" customHeight="1" thickBot="1">
      <c r="A19" s="5">
        <f>A18+1</f>
        <v>16</v>
      </c>
      <c r="B19" s="86" t="s">
        <v>110</v>
      </c>
      <c r="C19" s="74" t="s">
        <v>111</v>
      </c>
      <c r="D19" s="53" t="s">
        <v>112</v>
      </c>
      <c r="E19" s="53" t="s">
        <v>113</v>
      </c>
      <c r="F19" s="53" t="s">
        <v>114</v>
      </c>
      <c r="G19" s="69" t="s">
        <v>80</v>
      </c>
      <c r="H19" s="22" t="s">
        <v>115</v>
      </c>
      <c r="I19" s="53" t="s">
        <v>59</v>
      </c>
      <c r="J19" s="53" t="s">
        <v>116</v>
      </c>
      <c r="K19" s="8">
        <v>900</v>
      </c>
      <c r="L19" s="8">
        <v>2</v>
      </c>
      <c r="M19" s="8">
        <f t="shared" si="0"/>
        <v>800</v>
      </c>
      <c r="N19" s="42" t="s">
        <v>117</v>
      </c>
      <c r="O19" s="79" t="s">
        <v>203</v>
      </c>
    </row>
    <row r="20" spans="1:15" ht="51" customHeight="1" thickBot="1">
      <c r="A20" s="5">
        <v>17</v>
      </c>
      <c r="B20" s="87"/>
      <c r="C20" s="91" t="s">
        <v>225</v>
      </c>
      <c r="D20" s="11" t="s">
        <v>222</v>
      </c>
      <c r="E20" s="56" t="s">
        <v>113</v>
      </c>
      <c r="F20" s="92" t="s">
        <v>223</v>
      </c>
      <c r="G20" s="92" t="s">
        <v>198</v>
      </c>
      <c r="H20" s="16" t="s">
        <v>224</v>
      </c>
      <c r="I20" s="56" t="s">
        <v>59</v>
      </c>
      <c r="J20" s="98" t="s">
        <v>226</v>
      </c>
      <c r="K20" s="96">
        <v>900</v>
      </c>
      <c r="L20" s="96">
        <v>1</v>
      </c>
      <c r="M20" s="96"/>
      <c r="N20" s="97"/>
      <c r="O20" s="79"/>
    </row>
    <row r="21" spans="1:15" ht="51" customHeight="1" thickBot="1">
      <c r="A21" s="5">
        <v>18</v>
      </c>
      <c r="B21" s="87"/>
      <c r="C21" s="75" t="s">
        <v>118</v>
      </c>
      <c r="D21" s="11" t="s">
        <v>119</v>
      </c>
      <c r="E21" s="56" t="s">
        <v>113</v>
      </c>
      <c r="F21" s="56" t="s">
        <v>120</v>
      </c>
      <c r="G21" s="61" t="s">
        <v>80</v>
      </c>
      <c r="H21" s="16" t="s">
        <v>121</v>
      </c>
      <c r="I21" s="56" t="s">
        <v>59</v>
      </c>
      <c r="J21" s="56" t="s">
        <v>122</v>
      </c>
      <c r="K21" s="11">
        <v>900</v>
      </c>
      <c r="L21" s="11">
        <v>2</v>
      </c>
      <c r="M21" s="11">
        <f t="shared" si="0"/>
        <v>800</v>
      </c>
      <c r="N21" s="11"/>
      <c r="O21" s="77"/>
    </row>
    <row r="22" spans="1:15" ht="51" customHeight="1" thickBot="1">
      <c r="A22" s="5">
        <f t="shared" si="1"/>
        <v>19</v>
      </c>
      <c r="B22" s="87"/>
      <c r="C22" s="75" t="s">
        <v>123</v>
      </c>
      <c r="D22" s="11" t="s">
        <v>124</v>
      </c>
      <c r="E22" s="56" t="s">
        <v>113</v>
      </c>
      <c r="F22" s="56" t="s">
        <v>125</v>
      </c>
      <c r="G22" s="61" t="s">
        <v>80</v>
      </c>
      <c r="H22" s="16" t="s">
        <v>126</v>
      </c>
      <c r="I22" s="56" t="s">
        <v>59</v>
      </c>
      <c r="J22" s="56" t="s">
        <v>127</v>
      </c>
      <c r="K22" s="11">
        <v>1300</v>
      </c>
      <c r="L22" s="11">
        <v>3</v>
      </c>
      <c r="M22" s="11">
        <f t="shared" si="0"/>
        <v>1200</v>
      </c>
      <c r="N22" s="11"/>
      <c r="O22" s="77"/>
    </row>
    <row r="23" spans="1:15" ht="51" customHeight="1" thickBot="1">
      <c r="A23" s="5">
        <f t="shared" si="1"/>
        <v>20</v>
      </c>
      <c r="B23" s="87"/>
      <c r="C23" s="75" t="s">
        <v>128</v>
      </c>
      <c r="D23" s="56" t="s">
        <v>129</v>
      </c>
      <c r="E23" s="56" t="s">
        <v>130</v>
      </c>
      <c r="F23" s="56" t="s">
        <v>131</v>
      </c>
      <c r="G23" s="61" t="s">
        <v>132</v>
      </c>
      <c r="H23" s="16" t="s">
        <v>133</v>
      </c>
      <c r="I23" s="56" t="s">
        <v>59</v>
      </c>
      <c r="J23" s="56" t="s">
        <v>134</v>
      </c>
      <c r="K23" s="11">
        <v>820</v>
      </c>
      <c r="L23" s="11">
        <v>2</v>
      </c>
      <c r="M23" s="11">
        <f t="shared" si="0"/>
        <v>800</v>
      </c>
      <c r="N23" s="11"/>
      <c r="O23" s="77"/>
    </row>
    <row r="24" spans="1:15" ht="51" customHeight="1" thickBot="1">
      <c r="A24" s="5">
        <f t="shared" si="1"/>
        <v>21</v>
      </c>
      <c r="B24" s="87"/>
      <c r="C24" s="75" t="s">
        <v>135</v>
      </c>
      <c r="D24" s="56" t="s">
        <v>136</v>
      </c>
      <c r="E24" s="56" t="s">
        <v>130</v>
      </c>
      <c r="F24" s="56" t="s">
        <v>137</v>
      </c>
      <c r="G24" s="61" t="s">
        <v>138</v>
      </c>
      <c r="H24" s="16" t="s">
        <v>139</v>
      </c>
      <c r="I24" s="61" t="s">
        <v>140</v>
      </c>
      <c r="J24" s="56" t="s">
        <v>141</v>
      </c>
      <c r="K24" s="11">
        <v>420</v>
      </c>
      <c r="L24" s="11">
        <v>1</v>
      </c>
      <c r="M24" s="11">
        <f t="shared" si="0"/>
        <v>400</v>
      </c>
      <c r="N24" s="43" t="s">
        <v>142</v>
      </c>
      <c r="O24" s="77" t="s">
        <v>207</v>
      </c>
    </row>
    <row r="25" spans="1:15" ht="58.15" customHeight="1" thickBot="1">
      <c r="A25" s="5">
        <f t="shared" si="1"/>
        <v>22</v>
      </c>
      <c r="B25" s="87"/>
      <c r="C25" s="75" t="s">
        <v>143</v>
      </c>
      <c r="D25" s="56" t="s">
        <v>144</v>
      </c>
      <c r="E25" s="56" t="s">
        <v>25</v>
      </c>
      <c r="F25" s="56" t="s">
        <v>145</v>
      </c>
      <c r="G25" s="61" t="s">
        <v>146</v>
      </c>
      <c r="H25" s="16" t="s">
        <v>147</v>
      </c>
      <c r="I25" s="56" t="s">
        <v>59</v>
      </c>
      <c r="J25" s="56" t="s">
        <v>148</v>
      </c>
      <c r="K25" s="11">
        <v>500</v>
      </c>
      <c r="L25" s="11">
        <v>1</v>
      </c>
      <c r="M25" s="11">
        <f t="shared" si="0"/>
        <v>400</v>
      </c>
      <c r="N25" s="44" t="s">
        <v>149</v>
      </c>
      <c r="O25" s="81" t="s">
        <v>208</v>
      </c>
    </row>
    <row r="26" spans="1:15" ht="51" customHeight="1" thickBot="1">
      <c r="A26" s="5">
        <f t="shared" si="1"/>
        <v>23</v>
      </c>
      <c r="B26" s="90"/>
      <c r="C26" s="76" t="s">
        <v>150</v>
      </c>
      <c r="D26" s="26" t="s">
        <v>151</v>
      </c>
      <c r="E26" s="64" t="s">
        <v>113</v>
      </c>
      <c r="F26" s="64" t="s">
        <v>152</v>
      </c>
      <c r="G26" s="66" t="s">
        <v>80</v>
      </c>
      <c r="H26" s="20" t="s">
        <v>153</v>
      </c>
      <c r="I26" s="64" t="s">
        <v>59</v>
      </c>
      <c r="J26" s="64" t="s">
        <v>154</v>
      </c>
      <c r="K26" s="18">
        <v>3300</v>
      </c>
      <c r="L26" s="20">
        <v>8</v>
      </c>
      <c r="M26" s="18">
        <f t="shared" si="0"/>
        <v>3200</v>
      </c>
      <c r="N26" s="18"/>
      <c r="O26" s="78"/>
    </row>
    <row r="27" spans="1:15" ht="51" customHeight="1" thickBot="1">
      <c r="A27" s="5">
        <f t="shared" si="1"/>
        <v>24</v>
      </c>
      <c r="B27" s="86" t="s">
        <v>155</v>
      </c>
      <c r="C27" s="74" t="s">
        <v>156</v>
      </c>
      <c r="D27" s="53" t="s">
        <v>157</v>
      </c>
      <c r="E27" s="53" t="s">
        <v>158</v>
      </c>
      <c r="F27" s="53" t="s">
        <v>159</v>
      </c>
      <c r="G27" s="69" t="s">
        <v>160</v>
      </c>
      <c r="H27" s="69" t="s">
        <v>59</v>
      </c>
      <c r="I27" s="53" t="s">
        <v>59</v>
      </c>
      <c r="J27" s="69" t="s">
        <v>91</v>
      </c>
      <c r="K27" s="22">
        <v>420</v>
      </c>
      <c r="L27" s="22">
        <v>1</v>
      </c>
      <c r="M27" s="8">
        <f t="shared" si="0"/>
        <v>400</v>
      </c>
      <c r="N27" s="8"/>
      <c r="O27" s="79"/>
    </row>
    <row r="28" spans="1:15" ht="51" customHeight="1" thickBot="1">
      <c r="A28" s="5">
        <f t="shared" si="1"/>
        <v>25</v>
      </c>
      <c r="B28" s="87"/>
      <c r="C28" s="75" t="s">
        <v>161</v>
      </c>
      <c r="D28" s="56" t="s">
        <v>162</v>
      </c>
      <c r="E28" s="56" t="s">
        <v>163</v>
      </c>
      <c r="F28" s="56" t="s">
        <v>164</v>
      </c>
      <c r="G28" s="61" t="s">
        <v>165</v>
      </c>
      <c r="H28" s="16" t="s">
        <v>166</v>
      </c>
      <c r="I28" s="56" t="s">
        <v>59</v>
      </c>
      <c r="J28" s="61" t="s">
        <v>91</v>
      </c>
      <c r="K28" s="16">
        <v>420</v>
      </c>
      <c r="L28" s="16">
        <v>1</v>
      </c>
      <c r="M28" s="11">
        <f t="shared" si="0"/>
        <v>400</v>
      </c>
      <c r="N28" s="11"/>
      <c r="O28" s="77"/>
    </row>
    <row r="29" spans="1:15" ht="51" customHeight="1" thickBot="1">
      <c r="A29" s="5">
        <f t="shared" si="1"/>
        <v>26</v>
      </c>
      <c r="B29" s="90"/>
      <c r="C29" s="76" t="s">
        <v>167</v>
      </c>
      <c r="D29" s="64" t="s">
        <v>168</v>
      </c>
      <c r="E29" s="64" t="s">
        <v>169</v>
      </c>
      <c r="F29" s="64" t="s">
        <v>170</v>
      </c>
      <c r="G29" s="66" t="s">
        <v>171</v>
      </c>
      <c r="H29" s="20" t="s">
        <v>172</v>
      </c>
      <c r="I29" s="64" t="s">
        <v>59</v>
      </c>
      <c r="J29" s="20"/>
      <c r="K29" s="20">
        <v>420</v>
      </c>
      <c r="L29" s="20">
        <v>1</v>
      </c>
      <c r="M29" s="18">
        <f t="shared" si="0"/>
        <v>400</v>
      </c>
      <c r="N29" s="40"/>
      <c r="O29" s="78"/>
    </row>
    <row r="30" spans="1:15" ht="51" customHeight="1" thickBot="1">
      <c r="A30" s="5">
        <f t="shared" si="1"/>
        <v>27</v>
      </c>
      <c r="B30" s="86" t="s">
        <v>173</v>
      </c>
      <c r="C30" s="74" t="s">
        <v>174</v>
      </c>
      <c r="D30" s="53" t="s">
        <v>175</v>
      </c>
      <c r="E30" s="53" t="s">
        <v>176</v>
      </c>
      <c r="F30" s="53" t="s">
        <v>176</v>
      </c>
      <c r="G30" s="53" t="s">
        <v>177</v>
      </c>
      <c r="H30" s="8"/>
      <c r="I30" s="8"/>
      <c r="J30" s="8"/>
      <c r="K30" s="8">
        <v>420</v>
      </c>
      <c r="L30" s="8">
        <v>1</v>
      </c>
      <c r="M30" s="8">
        <f t="shared" si="0"/>
        <v>400</v>
      </c>
      <c r="N30" s="45" t="s">
        <v>178</v>
      </c>
      <c r="O30" s="85" t="s">
        <v>210</v>
      </c>
    </row>
    <row r="31" spans="1:15" ht="51" customHeight="1" thickBot="1">
      <c r="A31" s="5">
        <f t="shared" si="1"/>
        <v>28</v>
      </c>
      <c r="B31" s="87"/>
      <c r="C31" s="75" t="s">
        <v>179</v>
      </c>
      <c r="D31" s="56" t="s">
        <v>180</v>
      </c>
      <c r="E31" s="56" t="s">
        <v>55</v>
      </c>
      <c r="F31" s="56" t="s">
        <v>181</v>
      </c>
      <c r="G31" s="56" t="s">
        <v>182</v>
      </c>
      <c r="H31" s="11"/>
      <c r="I31" s="11"/>
      <c r="J31" s="16"/>
      <c r="K31" s="16">
        <v>820</v>
      </c>
      <c r="L31" s="11">
        <v>2</v>
      </c>
      <c r="M31" s="11">
        <f t="shared" si="0"/>
        <v>800</v>
      </c>
      <c r="N31" s="46"/>
      <c r="O31" s="77"/>
    </row>
    <row r="32" spans="1:15" ht="51" customHeight="1" thickBot="1">
      <c r="A32" s="5">
        <f t="shared" si="1"/>
        <v>29</v>
      </c>
      <c r="B32" s="87"/>
      <c r="C32" s="75" t="s">
        <v>183</v>
      </c>
      <c r="D32" s="56" t="s">
        <v>184</v>
      </c>
      <c r="E32" s="56" t="s">
        <v>55</v>
      </c>
      <c r="F32" s="56" t="s">
        <v>185</v>
      </c>
      <c r="G32" s="56" t="s">
        <v>177</v>
      </c>
      <c r="H32" s="11"/>
      <c r="I32" s="11"/>
      <c r="J32" s="16"/>
      <c r="K32" s="16">
        <v>420</v>
      </c>
      <c r="L32" s="11">
        <v>1</v>
      </c>
      <c r="M32" s="11">
        <f t="shared" si="0"/>
        <v>400</v>
      </c>
      <c r="N32" s="47" t="s">
        <v>186</v>
      </c>
      <c r="O32" s="81" t="s">
        <v>209</v>
      </c>
    </row>
    <row r="33" spans="1:15" ht="51" customHeight="1" thickBot="1">
      <c r="A33" s="5">
        <f t="shared" si="1"/>
        <v>30</v>
      </c>
      <c r="B33" s="87"/>
      <c r="C33" s="75" t="s">
        <v>187</v>
      </c>
      <c r="D33" s="56" t="s">
        <v>188</v>
      </c>
      <c r="E33" s="56" t="s">
        <v>189</v>
      </c>
      <c r="F33" s="56" t="s">
        <v>190</v>
      </c>
      <c r="G33" s="56" t="s">
        <v>191</v>
      </c>
      <c r="H33" s="27" t="s">
        <v>192</v>
      </c>
      <c r="I33" s="11"/>
      <c r="J33" s="16"/>
      <c r="K33" s="16">
        <v>420</v>
      </c>
      <c r="L33" s="11">
        <v>1</v>
      </c>
      <c r="M33" s="11">
        <f t="shared" si="0"/>
        <v>400</v>
      </c>
      <c r="N33" s="48" t="s">
        <v>193</v>
      </c>
      <c r="O33" s="81" t="s">
        <v>212</v>
      </c>
    </row>
    <row r="34" spans="1:15" ht="51" customHeight="1" thickBot="1">
      <c r="A34" s="5">
        <f t="shared" si="1"/>
        <v>31</v>
      </c>
      <c r="B34" s="90"/>
      <c r="C34" s="75" t="s">
        <v>194</v>
      </c>
      <c r="D34" s="56" t="s">
        <v>195</v>
      </c>
      <c r="E34" s="56" t="s">
        <v>196</v>
      </c>
      <c r="F34" s="56" t="s">
        <v>197</v>
      </c>
      <c r="G34" s="56" t="s">
        <v>198</v>
      </c>
      <c r="H34" s="16" t="s">
        <v>199</v>
      </c>
      <c r="I34" s="56" t="s">
        <v>59</v>
      </c>
      <c r="J34" s="61" t="s">
        <v>91</v>
      </c>
      <c r="K34" s="16">
        <v>850</v>
      </c>
      <c r="L34" s="16">
        <v>2</v>
      </c>
      <c r="M34" s="11">
        <f t="shared" si="0"/>
        <v>800</v>
      </c>
      <c r="N34" s="44" t="s">
        <v>200</v>
      </c>
      <c r="O34" s="77" t="s">
        <v>211</v>
      </c>
    </row>
    <row r="35" spans="1:15" ht="51" customHeight="1">
      <c r="A35" s="111" t="s">
        <v>227</v>
      </c>
      <c r="O35" s="31"/>
    </row>
    <row r="36" spans="1:15" ht="51" customHeight="1">
      <c r="A36"/>
      <c r="O36" s="31"/>
    </row>
    <row r="37" spans="1:15" ht="51" customHeight="1">
      <c r="A37"/>
      <c r="O37" s="31"/>
    </row>
    <row r="38" spans="1:15" ht="51" customHeight="1">
      <c r="A38"/>
      <c r="O38" s="31"/>
    </row>
    <row r="39" spans="1:15" ht="51" customHeight="1">
      <c r="A39"/>
      <c r="E39" t="s">
        <v>201</v>
      </c>
      <c r="O39" s="31"/>
    </row>
    <row r="40" spans="1:15" ht="51" customHeight="1">
      <c r="A40"/>
      <c r="O40" s="31"/>
    </row>
    <row r="41" spans="1:15" ht="51" customHeight="1">
      <c r="A41"/>
      <c r="O41" s="31"/>
    </row>
    <row r="42" spans="1:15" ht="51" customHeight="1">
      <c r="A42"/>
      <c r="O42" s="31"/>
    </row>
    <row r="43" spans="1:15" ht="51" customHeight="1">
      <c r="A43"/>
      <c r="O43" s="31"/>
    </row>
    <row r="44" spans="1:15" ht="51" customHeight="1">
      <c r="A44"/>
      <c r="O44" s="31"/>
    </row>
    <row r="45" spans="1:15" ht="51" customHeight="1">
      <c r="A45"/>
      <c r="O45" s="31"/>
    </row>
    <row r="46" spans="1:15" ht="51" customHeight="1">
      <c r="H46" s="28"/>
      <c r="N46" s="49"/>
    </row>
    <row r="47" spans="1:15" ht="51" customHeight="1">
      <c r="H47" s="28"/>
      <c r="N47" s="49"/>
    </row>
  </sheetData>
  <mergeCells count="7">
    <mergeCell ref="B30:B34"/>
    <mergeCell ref="A1:O1"/>
    <mergeCell ref="B3:B13"/>
    <mergeCell ref="B14:B15"/>
    <mergeCell ref="B19:B26"/>
    <mergeCell ref="B27:B29"/>
    <mergeCell ref="B17:B18"/>
  </mergeCells>
  <conditionalFormatting sqref="N12">
    <cfRule type="dataBar" priority="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{FB1FA78C-AAF1-4FC8-9AC3-694CCB125B5A}</x14:id>
        </ext>
      </extLst>
    </cfRule>
  </conditionalFormatting>
  <conditionalFormatting sqref="N16:N17">
    <cfRule type="dataBar" priority="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{56371448-1918-4725-BF8D-BAE246CFFAEE}</x14:id>
        </ext>
      </extLst>
    </cfRule>
  </conditionalFormatting>
  <conditionalFormatting sqref="L30:M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:L11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0:N33">
    <cfRule type="dataBar" priority="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{9AECB0F9-E7EB-4A3B-87F7-4BFA9930A33F}</x14:id>
        </ext>
      </extLst>
    </cfRule>
  </conditionalFormatting>
  <conditionalFormatting sqref="M3:M29 M31:M34 L12:L29 L34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M3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1FA78C-AAF1-4FC8-9AC3-694CCB125B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N12</xm:sqref>
        </x14:conditionalFormatting>
        <x14:conditionalFormatting xmlns:xm="http://schemas.microsoft.com/office/excel/2006/main">
          <x14:cfRule type="dataBar" id="{56371448-1918-4725-BF8D-BAE246CFFAE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N16:N17</xm:sqref>
        </x14:conditionalFormatting>
        <x14:conditionalFormatting xmlns:xm="http://schemas.microsoft.com/office/excel/2006/main">
          <x14:cfRule type="dataBar" id="{9AECB0F9-E7EB-4A3B-87F7-4BFA9930A33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N30:N33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XPENDER</cp:lastModifiedBy>
  <dcterms:created xsi:type="dcterms:W3CDTF">2021-06-08T13:45:00Z</dcterms:created>
  <dcterms:modified xsi:type="dcterms:W3CDTF">2022-04-04T19:18:11Z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6C426FAB849F49D4ADFC871332999A05</vt:lpwstr>
  </property>
  <property fmtid="{D5CDD505-2E9C-101B-9397-08002B2CF9AE}" pid="3" name="KSOProductBuildVer">
    <vt:lpwstr>2052-11.1.0.11045</vt:lpwstr>
  </property>
</Properties>
</file>