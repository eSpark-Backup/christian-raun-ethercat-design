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BE2D612B-6CD1-4E88-9D36-B705E0C032C4}" xr6:coauthVersionLast="47" xr6:coauthVersionMax="47" xr10:uidLastSave="{00000000-0000-0000-0000-000000000000}"/>
  <bookViews>
    <workbookView xWindow="3510" yWindow="3510" windowWidth="21600" windowHeight="11385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1" l="1"/>
  <c r="M19" i="1"/>
  <c r="M4" i="1"/>
  <c r="M5" i="1"/>
  <c r="M6" i="1"/>
  <c r="M7" i="1"/>
  <c r="M8" i="1"/>
  <c r="M9" i="1"/>
  <c r="M10" i="1"/>
  <c r="M11" i="1"/>
  <c r="M12" i="1"/>
  <c r="M13" i="1"/>
  <c r="M14" i="1"/>
  <c r="M15" i="1"/>
  <c r="M17" i="1"/>
  <c r="M18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" i="1"/>
</calcChain>
</file>

<file path=xl/sharedStrings.xml><?xml version="1.0" encoding="utf-8"?>
<sst xmlns="http://schemas.openxmlformats.org/spreadsheetml/2006/main" count="314" uniqueCount="215">
  <si>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</si>
  <si>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</si>
  <si>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</si>
  <si>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</si>
  <si>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</si>
  <si>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</si>
  <si>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</si>
  <si>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</si>
  <si>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</si>
  <si>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</si>
  <si>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</si>
  <si>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</si>
  <si>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</si>
  <si>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Capacitor</t>
  </si>
  <si>
    <t>CAP CER 0.1UF 100V X7R 0603</t>
  </si>
  <si>
    <t>C34, C35, C37, C40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</si>
  <si>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</si>
  <si>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</si>
  <si>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</si>
  <si>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</si>
  <si>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</si>
  <si>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</si>
  <si>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</si>
  <si>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</si>
  <si>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</si>
  <si>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</si>
  <si>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</si>
  <si>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</si>
  <si>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</si>
  <si>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</si>
  <si>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</si>
  <si>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</si>
  <si>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</si>
  <si>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</si>
  <si>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</si>
  <si>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</si>
  <si>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</si>
  <si>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</si>
  <si>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C36, C56, C57</t>
  </si>
  <si>
    <t>CGA3E2X7R2A223K080AA</t>
  </si>
  <si>
    <t xml:space="preserve">TDK </t>
  </si>
  <si>
    <t>C21122</t>
  </si>
  <si>
    <t xml:space="preserve">CL10B223KB8NNNC
</t>
  </si>
  <si>
    <t>22nF</t>
  </si>
  <si>
    <t>CAP CER 2.2UF 50V X5R 0603</t>
  </si>
  <si>
    <t>C38</t>
  </si>
  <si>
    <t>UMK107BBJ225MA-T</t>
  </si>
  <si>
    <t xml:space="preserve">Taiyo Yuden
</t>
  </si>
  <si>
    <t>C268016</t>
  </si>
  <si>
    <t xml:space="preserve">UMK107BBJ225KA-T
</t>
  </si>
  <si>
    <t>2.2uF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</si>
  <si>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</si>
  <si>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</si>
  <si>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</si>
  <si>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</si>
  <si>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</si>
  <si>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</si>
  <si>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</si>
  <si>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</si>
  <si>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C44, C79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</si>
  <si>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</si>
  <si>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</si>
  <si>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</si>
  <si>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</si>
  <si>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</si>
  <si>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</si>
  <si>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</si>
  <si>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</si>
  <si>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</si>
  <si>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</si>
  <si>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</si>
  <si>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</si>
  <si>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</si>
  <si>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</si>
  <si>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</si>
  <si>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</si>
  <si>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</si>
  <si>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</si>
  <si>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</si>
  <si>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</si>
  <si>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</si>
  <si>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</si>
  <si>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</si>
  <si>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</si>
  <si>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</si>
  <si>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</si>
  <si>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</si>
  <si>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</si>
  <si>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</si>
  <si>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</si>
  <si>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</si>
  <si>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</si>
  <si>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</si>
  <si>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</si>
  <si>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</si>
  <si>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</si>
  <si>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</si>
  <si>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</si>
  <si>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</si>
  <si>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</si>
  <si>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</si>
  <si>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R1,R18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</si>
  <si>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</si>
  <si>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</si>
  <si>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</si>
  <si>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</si>
  <si>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</si>
  <si>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</si>
  <si>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</si>
  <si>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</si>
  <si>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</si>
  <si>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</si>
  <si>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R21, R22, R29</t>
  </si>
  <si>
    <t>RC0603FR-071KL</t>
  </si>
  <si>
    <t>C22548</t>
  </si>
  <si>
    <t>1K</t>
  </si>
  <si>
    <t>RES SMD ±5% ±200ppm/℃ 0.18Ω 1W 2512</t>
  </si>
  <si>
    <t>R19, R20</t>
  </si>
  <si>
    <t>RES 2512</t>
  </si>
  <si>
    <t>RTT25R18JTE</t>
  </si>
  <si>
    <t xml:space="preserve">
RALEC</t>
  </si>
  <si>
    <t>C159165</t>
  </si>
  <si>
    <t>180m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</si>
  <si>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</si>
  <si>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</si>
  <si>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</si>
  <si>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</si>
  <si>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</si>
  <si>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</si>
  <si>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</si>
  <si>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</si>
  <si>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</si>
  <si>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</si>
  <si>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</si>
  <si>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</si>
  <si>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</si>
  <si>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</si>
  <si>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</si>
  <si>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</si>
  <si>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</si>
  <si>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</si>
  <si>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</si>
  <si>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 xml:space="preserve">IC MTR DRV BIPOLAR 5.5-36V 32QFN
</t>
  </si>
  <si>
    <t>U3</t>
  </si>
  <si>
    <t>32-QFN (5x5)</t>
  </si>
  <si>
    <t>TMC2202-WA-T</t>
  </si>
  <si>
    <t xml:space="preserve">Trinamic </t>
  </si>
  <si>
    <t>Alibaba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</si>
  <si>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</si>
  <si>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</si>
  <si>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</si>
  <si>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</si>
  <si>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</si>
  <si>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</si>
  <si>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</si>
  <si>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</si>
  <si>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</si>
  <si>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</si>
  <si>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</si>
  <si>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</si>
  <si>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</si>
  <si>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</si>
  <si>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</si>
  <si>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</si>
  <si>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</si>
  <si>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</si>
  <si>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</si>
  <si>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</si>
  <si>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</si>
  <si>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</si>
  <si>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</si>
  <si>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</si>
  <si>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</si>
  <si>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</si>
  <si>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</si>
  <si>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</si>
  <si>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</si>
  <si>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</si>
  <si>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</si>
  <si>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</si>
  <si>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</si>
  <si>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</si>
  <si>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 xml:space="preserve"> SB1,SB2, SB3,SB3, SB4,SB5</t>
  </si>
  <si>
    <t>Solder Bridge</t>
  </si>
  <si>
    <t>Test Point ON</t>
  </si>
  <si>
    <t>P4, P5, P6, P7,P8</t>
  </si>
  <si>
    <t>TEST POINT</t>
  </si>
  <si>
    <t xml:space="preserve">Total Component Cost </t>
  </si>
  <si>
    <t>Single Board Cost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</si>
  <si>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</si>
  <si>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</si>
  <si>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</si>
  <si>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</si>
  <si>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</si>
  <si>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</si>
  <si>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</si>
  <si>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</si>
  <si>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</si>
  <si>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</si>
  <si>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</si>
  <si>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</si>
  <si>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</si>
  <si>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</si>
  <si>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</si>
  <si>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</si>
  <si>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</si>
  <si>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</si>
  <si>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</si>
  <si>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</si>
  <si>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>U3*</t>
  </si>
  <si>
    <t>48QFP</t>
  </si>
  <si>
    <t xml:space="preserve">TMC2130-LA-T
</t>
  </si>
  <si>
    <t xml:space="preserve">TRINAMIC </t>
  </si>
  <si>
    <t>C915795</t>
  </si>
  <si>
    <t xml:space="preserve">QFN-36 Motor Driver ICs ROHS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</si>
</sst>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28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left" vertical="center"/>
    </xf>
    <xf numFmtId="0" fontId="0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164" fontId="11" fillId="0" borderId="8" xfId="1" applyNumberFormat="1" applyFont="1" applyBorder="1" applyAlignment="1">
      <alignment horizontal="center" vertical="center"/>
    </xf>
    <xf numFmtId="164" fontId="11" fillId="0" borderId="11" xfId="1" applyNumberFormat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164" fontId="12" fillId="4" borderId="14" xfId="1" applyNumberFormat="1" applyFont="1" applyFill="1" applyBorder="1" applyAlignment="1">
      <alignment horizontal="center" vertical="center"/>
    </xf>
    <xf numFmtId="164" fontId="12" fillId="6" borderId="8" xfId="1" applyNumberFormat="1" applyFont="1" applyFill="1" applyBorder="1" applyAlignment="1">
      <alignment horizontal="center" vertical="center"/>
    </xf>
    <xf numFmtId="0" fontId="14" fillId="6" borderId="8" xfId="1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11" fillId="6" borderId="11" xfId="1" applyFont="1" applyFill="1" applyBorder="1" applyAlignment="1">
      <alignment horizontal="center" vertical="center"/>
    </xf>
    <xf numFmtId="0" fontId="11" fillId="4" borderId="11" xfId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wrapText="1"/>
    </xf>
    <xf numFmtId="0" fontId="0" fillId="0" borderId="0" xfId="0" applyFont="1" applyAlignment="1"/>
    <xf numFmtId="0" fontId="0" fillId="0" borderId="7" xfId="0" quotePrefix="1" applyFont="1" applyFill="1" applyBorder="1" applyAlignment="1">
      <alignment horizontal="left" vertical="center"/>
    </xf>
    <xf numFmtId="0" fontId="0" fillId="0" borderId="8" xfId="0" quotePrefix="1" applyFont="1" applyFill="1" applyBorder="1" applyAlignment="1">
      <alignment horizontal="center" vertical="center"/>
    </xf>
    <xf numFmtId="0" fontId="0" fillId="4" borderId="8" xfId="0" quotePrefix="1" applyFont="1" applyFill="1" applyBorder="1" applyAlignment="1">
      <alignment horizontal="center" vertical="center"/>
    </xf>
    <xf numFmtId="0" fontId="7" fillId="4" borderId="8" xfId="0" quotePrefix="1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left" vertical="center"/>
    </xf>
    <xf numFmtId="0" fontId="0" fillId="4" borderId="11" xfId="0" quotePrefix="1" applyFont="1" applyFill="1" applyBorder="1" applyAlignment="1">
      <alignment horizontal="center" vertical="center"/>
    </xf>
    <xf numFmtId="0" fontId="0" fillId="0" borderId="11" xfId="0" quotePrefix="1" applyFont="1" applyFill="1" applyBorder="1" applyAlignment="1">
      <alignment horizontal="center" vertical="center"/>
    </xf>
    <xf numFmtId="0" fontId="7" fillId="4" borderId="11" xfId="0" quotePrefix="1" applyFont="1" applyFill="1" applyBorder="1" applyAlignment="1">
      <alignment horizontal="center" vertical="center"/>
    </xf>
    <xf numFmtId="0" fontId="6" fillId="4" borderId="11" xfId="0" quotePrefix="1" applyFont="1" applyFill="1" applyBorder="1" applyAlignment="1">
      <alignment horizontal="center" vertical="center"/>
    </xf>
    <xf numFmtId="0" fontId="0" fillId="0" borderId="10" xfId="0" quotePrefix="1" applyFont="1" applyBorder="1" applyAlignment="1">
      <alignment horizontal="left" vertical="center"/>
    </xf>
    <xf numFmtId="0" fontId="0" fillId="0" borderId="11" xfId="0" quotePrefix="1" applyFont="1" applyBorder="1" applyAlignment="1">
      <alignment horizontal="center" vertical="center"/>
    </xf>
    <xf numFmtId="0" fontId="7" fillId="0" borderId="11" xfId="0" quotePrefix="1" applyFont="1" applyBorder="1" applyAlignment="1">
      <alignment horizontal="center" vertical="center"/>
    </xf>
    <xf numFmtId="0" fontId="12" fillId="0" borderId="11" xfId="1" quotePrefix="1" applyFont="1" applyBorder="1" applyAlignment="1">
      <alignment horizontal="center" vertical="center"/>
    </xf>
    <xf numFmtId="0" fontId="12" fillId="0" borderId="11" xfId="1" quotePrefix="1" applyFont="1" applyFill="1" applyBorder="1" applyAlignment="1">
      <alignment horizontal="center" vertical="center"/>
    </xf>
    <xf numFmtId="0" fontId="0" fillId="0" borderId="13" xfId="0" quotePrefix="1" applyFont="1" applyBorder="1" applyAlignment="1">
      <alignment horizontal="left" vertical="center"/>
    </xf>
    <xf numFmtId="0" fontId="0" fillId="4" borderId="14" xfId="0" quotePrefix="1" applyFont="1" applyFill="1" applyBorder="1" applyAlignment="1">
      <alignment horizontal="center" vertical="center"/>
    </xf>
    <xf numFmtId="0" fontId="0" fillId="0" borderId="14" xfId="0" quotePrefix="1" applyFont="1" applyBorder="1" applyAlignment="1">
      <alignment horizontal="center" vertical="center"/>
    </xf>
    <xf numFmtId="0" fontId="7" fillId="0" borderId="14" xfId="0" quotePrefix="1" applyFont="1" applyBorder="1" applyAlignment="1">
      <alignment horizontal="center" vertical="center"/>
    </xf>
    <xf numFmtId="0" fontId="7" fillId="4" borderId="14" xfId="0" quotePrefix="1" applyFont="1" applyFill="1" applyBorder="1" applyAlignment="1">
      <alignment horizontal="center" vertical="center"/>
    </xf>
    <xf numFmtId="0" fontId="12" fillId="0" borderId="14" xfId="1" quotePrefix="1" applyFont="1" applyBorder="1" applyAlignment="1">
      <alignment horizontal="center" vertical="center"/>
    </xf>
    <xf numFmtId="0" fontId="0" fillId="0" borderId="7" xfId="0" quotePrefix="1" applyFont="1" applyBorder="1" applyAlignment="1">
      <alignment horizontal="left" vertical="center"/>
    </xf>
    <xf numFmtId="0" fontId="0" fillId="0" borderId="8" xfId="0" quotePrefix="1" applyFont="1" applyBorder="1" applyAlignment="1">
      <alignment horizontal="center" vertical="center"/>
    </xf>
    <xf numFmtId="0" fontId="7" fillId="0" borderId="8" xfId="0" quotePrefix="1" applyFont="1" applyBorder="1" applyAlignment="1">
      <alignment horizontal="center" vertical="center"/>
    </xf>
    <xf numFmtId="0" fontId="12" fillId="0" borderId="8" xfId="1" quotePrefix="1" applyFont="1" applyBorder="1" applyAlignment="1">
      <alignment horizontal="center" vertical="center"/>
    </xf>
    <xf numFmtId="0" fontId="0" fillId="4" borderId="15" xfId="0" quotePrefix="1" applyFont="1" applyFill="1" applyBorder="1" applyAlignment="1">
      <alignment horizontal="center" vertical="center"/>
    </xf>
    <xf numFmtId="0" fontId="7" fillId="4" borderId="15" xfId="0" quotePrefix="1" applyFont="1" applyFill="1" applyBorder="1" applyAlignment="1">
      <alignment horizontal="center" vertical="center"/>
    </xf>
    <xf numFmtId="0" fontId="11" fillId="4" borderId="15" xfId="1" quotePrefix="1" applyFill="1" applyBorder="1" applyAlignment="1">
      <alignment horizontal="center" vertical="center"/>
    </xf>
    <xf numFmtId="0" fontId="0" fillId="4" borderId="7" xfId="0" quotePrefix="1" applyFont="1" applyFill="1" applyBorder="1" applyAlignment="1">
      <alignment horizontal="left" vertical="center"/>
    </xf>
    <xf numFmtId="0" fontId="12" fillId="4" borderId="8" xfId="1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12" fillId="4" borderId="11" xfId="1" quotePrefix="1" applyFont="1" applyFill="1" applyBorder="1" applyAlignment="1">
      <alignment horizontal="center" vertical="center"/>
    </xf>
    <xf numFmtId="0" fontId="0" fillId="4" borderId="13" xfId="0" quotePrefix="1" applyFont="1" applyFill="1" applyBorder="1" applyAlignment="1">
      <alignment horizontal="left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7" fillId="6" borderId="8" xfId="0" quotePrefix="1" applyFont="1" applyFill="1" applyBorder="1" applyAlignment="1">
      <alignment horizontal="center" vertical="center"/>
    </xf>
    <xf numFmtId="0" fontId="0" fillId="6" borderId="10" xfId="0" quotePrefix="1" applyFont="1" applyFill="1" applyBorder="1" applyAlignment="1">
      <alignment horizontal="left" vertical="center"/>
    </xf>
    <xf numFmtId="0" fontId="0" fillId="6" borderId="11" xfId="0" quotePrefix="1" applyFont="1" applyFill="1" applyBorder="1" applyAlignment="1">
      <alignment horizontal="center" vertical="center"/>
    </xf>
    <xf numFmtId="0" fontId="7" fillId="6" borderId="11" xfId="0" quotePrefix="1" applyFont="1" applyFill="1" applyBorder="1" applyAlignment="1">
      <alignment horizontal="center" vertical="center"/>
    </xf>
    <xf numFmtId="0" fontId="11" fillId="4" borderId="11" xfId="1" quotePrefix="1" applyFont="1" applyFill="1" applyBorder="1" applyAlignment="1">
      <alignment horizontal="center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quotePrefix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quotePrefix="1" applyFont="1" applyFill="1" applyBorder="1" applyAlignment="1">
      <alignment horizontal="center" vertical="center"/>
    </xf>
    <xf numFmtId="0" fontId="0" fillId="0" borderId="11" xfId="0" quotePrefix="1" applyBorder="1"/>
    <xf numFmtId="0" fontId="0" fillId="0" borderId="11" xfId="0" quotePrefix="1" applyBorder="1" applyAlignment="1">
      <alignment horizontal="center" vertical="center"/>
    </xf>
    <xf numFmtId="0" fontId="0" fillId="0" borderId="11" xfId="0" quotePrefix="1" applyBorder="1" applyAlignment="1">
      <alignment horizontal="left" vertical="center"/>
    </xf>
    <xf numFmtId="0" fontId="0" fillId="4" borderId="15" xfId="0" applyFont="1" applyFill="1" applyBorder="1" applyAlignment="1">
      <alignment horizontal="center" vertical="center"/>
    </xf>
    <xf numFmtId="0" fontId="0" fillId="0" borderId="11" xfId="0" quotePrefix="1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4" borderId="19" xfId="0" quotePrefix="1" applyFont="1" applyFill="1" applyBorder="1" applyAlignment="1">
      <alignment horizontal="left" vertical="center"/>
    </xf>
    <xf numFmtId="0" fontId="0" fillId="4" borderId="20" xfId="0" quotePrefix="1" applyFont="1" applyFill="1" applyBorder="1" applyAlignment="1">
      <alignment horizontal="center" vertical="center"/>
    </xf>
    <xf numFmtId="0" fontId="7" fillId="4" borderId="20" xfId="0" quotePrefix="1" applyFont="1" applyFill="1" applyBorder="1" applyAlignment="1">
      <alignment horizontal="center" vertical="center"/>
    </xf>
    <xf numFmtId="0" fontId="7" fillId="4" borderId="20" xfId="0" applyFont="1" applyFill="1" applyBorder="1" applyAlignment="1">
      <alignment horizontal="center" vertical="center"/>
    </xf>
    <xf numFmtId="0" fontId="11" fillId="4" borderId="20" xfId="1" quotePrefix="1" applyFill="1" applyBorder="1" applyAlignment="1">
      <alignment horizontal="center" vertical="center"/>
    </xf>
    <xf numFmtId="0" fontId="16" fillId="4" borderId="14" xfId="1" quotePrefix="1" applyFont="1" applyFill="1" applyBorder="1" applyAlignment="1">
      <alignment horizontal="center" vertical="center"/>
    </xf>
    <xf numFmtId="0" fontId="17" fillId="3" borderId="16" xfId="0" applyFont="1" applyFill="1" applyBorder="1" applyAlignment="1">
      <alignment horizontal="center" vertical="center"/>
    </xf>
    <xf numFmtId="0" fontId="11" fillId="0" borderId="11" xfId="1" quotePrefix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8" xfId="0" quotePrefix="1" applyBorder="1"/>
    <xf numFmtId="0" fontId="0" fillId="0" borderId="8" xfId="0" quotePrefix="1" applyBorder="1" applyAlignment="1">
      <alignment horizontal="center" vertical="center"/>
    </xf>
    <xf numFmtId="0" fontId="7" fillId="4" borderId="21" xfId="0" quotePrefix="1" applyFont="1" applyFill="1" applyBorder="1" applyAlignment="1">
      <alignment horizontal="center" vertical="center"/>
    </xf>
    <xf numFmtId="0" fontId="7" fillId="4" borderId="21" xfId="0" applyFont="1" applyFill="1" applyBorder="1" applyAlignment="1">
      <alignment horizontal="center" vertical="center"/>
    </xf>
    <xf numFmtId="0" fontId="11" fillId="4" borderId="22" xfId="1" quotePrefix="1" applyFill="1" applyBorder="1" applyAlignment="1">
      <alignment horizontal="center" vertical="center"/>
    </xf>
    <xf numFmtId="0" fontId="8" fillId="6" borderId="13" xfId="0" quotePrefix="1" applyFont="1" applyFill="1" applyBorder="1" applyAlignment="1">
      <alignment horizontal="left" vertical="center"/>
    </xf>
    <xf numFmtId="0" fontId="8" fillId="6" borderId="14" xfId="0" quotePrefix="1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164" fontId="13" fillId="6" borderId="18" xfId="1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5" fillId="0" borderId="17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4" borderId="11" xfId="0" quotePrefix="1" applyFill="1" applyBorder="1" applyAlignment="1">
      <alignment horizontal="center" vertical="center"/>
    </xf>
    <xf numFmtId="0" fontId="1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FR-071KL_C22548.html" TargetMode="External"/><Relationship Id="rId13" Type="http://schemas.openxmlformats.org/officeDocument/2006/relationships/hyperlink" Target="https://www.lcsc.com/product-detail/Pin-Headers_TE-Connectivity-826629-2_C86471.html" TargetMode="External"/><Relationship Id="rId18" Type="http://schemas.openxmlformats.org/officeDocument/2006/relationships/hyperlink" Target="https://lcsc.com/product-detail/Multilayer-Ceramic-Capacitors-MLCC-SMD-SMT_YAGEO-CC0603KRX7R0BB104_C113803.html" TargetMode="External"/><Relationship Id="rId26" Type="http://schemas.openxmlformats.org/officeDocument/2006/relationships/hyperlink" Target="https://www.digikey.com/en/products/detail/te-connectivity-passive-product/CRGH0603J100K/2385403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Relationship Id="rId21" Type="http://schemas.openxmlformats.org/officeDocument/2006/relationships/hyperlink" Target="https://tr.aliexpress.com/item/32814431059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DC-DC-Converters_XLSEMI-XL4001E1_C73347.html" TargetMode="External"/><Relationship Id="rId17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25" Type="http://schemas.openxmlformats.org/officeDocument/2006/relationships/hyperlink" Target="https://lcsc.com/product-detail/Others_Prosperity-Dielectrics-MCS20FC-2R2MMP_C375949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www.lcsc.com/product-detail/Chip-span-style-background-color-ff0-Resistor-span-Surface-Mount_YAGEO-RL2512FK-070R075L_C705611.html" TargetMode="External"/><Relationship Id="rId20" Type="http://schemas.openxmlformats.org/officeDocument/2006/relationships/hyperlink" Target="https://lcsc.com/product-detail/Multilayer-Ceramic-Capacitors-MLCC-SMD-SMT_PSA-Prosperity-Dielectrics-FN18N100J500PSG_C525235.html" TargetMode="External"/><Relationship Id="rId29" Type="http://schemas.openxmlformats.org/officeDocument/2006/relationships/hyperlink" Target="https://lcsc.com/product-detail/Motor-Driver-ICs_TRINAMIC-Motion-Control-GmbH-TMC2130-LA-T_C915795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Chip-Resistor-Surface-Mount_YAGEO-RC0603FR-0749K9L_C114624.html" TargetMode="External"/><Relationship Id="rId24" Type="http://schemas.openxmlformats.org/officeDocument/2006/relationships/hyperlink" Target="https://lcsc.com/product-detail/Pin-Headers_BOOMELE-Boom-Precision-Elec-C37208_C37208.html" TargetMode="External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www.lcsc.com/product-detail/Multilayer-Ceramic-Capacitors-MLCC-SMD-SMT_Taiyo-Yuden-UMK107BBJ225KA-T_C268016.html" TargetMode="External"/><Relationship Id="rId23" Type="http://schemas.openxmlformats.org/officeDocument/2006/relationships/hyperlink" Target="https://lcsc.com/product-detail/MOSFETs_Infineon-Technologies-IRLML2502TRPBF_C2589.html" TargetMode="External"/><Relationship Id="rId28" Type="http://schemas.openxmlformats.org/officeDocument/2006/relationships/hyperlink" Target="https://www.digikey.com/en/products/detail/yageo/CC0805MKX5R8BB226/5195309?s=N4IgTCBcDaIMJwAwA5EFYCyBpAGmgSsgEJFhgBsIAugL5A" TargetMode="External"/><Relationship Id="rId10" Type="http://schemas.openxmlformats.org/officeDocument/2006/relationships/hyperlink" Target="https://www.lcsc.com/product-detail/Chip-Resistor-Surface-Mount_UNI-ROYAL-Uniroyal-Elec-0805W8F9001T5E_C247026.html" TargetMode="External"/><Relationship Id="rId19" Type="http://schemas.openxmlformats.org/officeDocument/2006/relationships/hyperlink" Target="https://lcsc.com/product-detail/old-batch_Murata-Electronics-GCM21BC72A105KE36L_C2842838.html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RALEC-RTT25R18JTE_C159165.html" TargetMode="External"/><Relationship Id="rId14" Type="http://schemas.openxmlformats.org/officeDocument/2006/relationships/hyperlink" Target="https://www.lcsc.com/product-detail/Multilayer-Ceramic-Capacitors-MLCC-SMD-SMT_Samsung-Electro-Mechanics-CL10B223KB8NNNC_C21122.html" TargetMode="External"/><Relationship Id="rId22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27" Type="http://schemas.openxmlformats.org/officeDocument/2006/relationships/hyperlink" Target="https://lcsc.com/product-detail/Multilayer-Ceramic-Capacitors-MLCC-SMD-SMT_muRata_GRM188R61E106MA73D_10uF-106-20-25V_C91606.html'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2"/>
  <sheetViews>
    <sheetView tabSelected="1" topLeftCell="B22" zoomScale="85" zoomScaleNormal="85" workbookViewId="0">
      <selection activeCell="C48" sqref="C48"/>
    </sheetView>
  </sheetViews>
  <sheetFormatPr defaultColWidth="9" defaultRowHeight="15"/>
  <cols>
    <col min="1" max="1" width="6.140625" style="2" customWidth="1"/>
    <col min="2" max="2" width="14.42578125" customWidth="1"/>
    <col min="3" max="3" width="62.140625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2" customWidth="1"/>
    <col min="9" max="9" width="21.5703125" customWidth="1"/>
    <col min="10" max="10" width="7" customWidth="1"/>
    <col min="11" max="11" width="11.5703125" customWidth="1"/>
    <col min="12" max="12" width="21.85546875" customWidth="1"/>
    <col min="13" max="13" width="14.140625" customWidth="1"/>
    <col min="14" max="14" width="16.28515625" customWidth="1"/>
  </cols>
  <sheetData>
    <row r="1" spans="1:30" ht="16.5" thickBot="1">
      <c r="A1" s="119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</row>
    <row r="2" spans="1:30" s="1" customFormat="1" ht="16.5" thickBot="1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118" t="s">
        <v>208</v>
      </c>
      <c r="N2" s="105" t="s">
        <v>207</v>
      </c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</row>
    <row r="3" spans="1:30" ht="15.75" thickBot="1">
      <c r="A3" s="6">
        <v>1</v>
      </c>
      <c r="B3" s="123" t="s">
        <v>13</v>
      </c>
      <c r="C3" s="50" t="s">
        <v>14</v>
      </c>
      <c r="D3" s="7" t="s">
        <v>15</v>
      </c>
      <c r="E3" s="51" t="s">
        <v>16</v>
      </c>
      <c r="F3" s="52" t="s">
        <v>17</v>
      </c>
      <c r="G3" s="51" t="s">
        <v>18</v>
      </c>
      <c r="H3" s="10" t="s">
        <v>19</v>
      </c>
      <c r="I3" s="53" t="s">
        <v>20</v>
      </c>
      <c r="J3" s="51" t="s">
        <v>21</v>
      </c>
      <c r="K3" s="23">
        <v>50</v>
      </c>
      <c r="L3" s="8">
        <v>4</v>
      </c>
      <c r="M3" s="23">
        <f>L3*6</f>
        <v>24</v>
      </c>
      <c r="N3" s="35" t="s">
        <v>22</v>
      </c>
    </row>
    <row r="4" spans="1:30" ht="15.75" thickBot="1">
      <c r="A4" s="6">
        <v>2</v>
      </c>
      <c r="B4" s="124"/>
      <c r="C4" s="54" t="s">
        <v>23</v>
      </c>
      <c r="D4" s="55" t="s">
        <v>24</v>
      </c>
      <c r="E4" s="56" t="s">
        <v>25</v>
      </c>
      <c r="F4" s="55" t="s">
        <v>26</v>
      </c>
      <c r="G4" s="56" t="s">
        <v>27</v>
      </c>
      <c r="H4" s="14" t="s">
        <v>28</v>
      </c>
      <c r="I4" s="57" t="s">
        <v>20</v>
      </c>
      <c r="J4" s="56" t="s">
        <v>29</v>
      </c>
      <c r="K4" s="16">
        <v>10</v>
      </c>
      <c r="L4" s="13">
        <v>1</v>
      </c>
      <c r="M4" s="23">
        <f t="shared" ref="M4:M35" si="0">L4*6</f>
        <v>6</v>
      </c>
      <c r="N4" s="36" t="s">
        <v>22</v>
      </c>
    </row>
    <row r="5" spans="1:30" ht="15.75" thickBot="1">
      <c r="A5" s="6">
        <v>3</v>
      </c>
      <c r="B5" s="124"/>
      <c r="C5" s="54" t="s">
        <v>30</v>
      </c>
      <c r="D5" s="55" t="s">
        <v>31</v>
      </c>
      <c r="E5" s="56" t="s">
        <v>16</v>
      </c>
      <c r="F5" s="58" t="s">
        <v>32</v>
      </c>
      <c r="G5" s="56" t="s">
        <v>33</v>
      </c>
      <c r="H5" s="15" t="s">
        <v>34</v>
      </c>
      <c r="I5" s="15" t="s">
        <v>35</v>
      </c>
      <c r="J5" s="56" t="s">
        <v>36</v>
      </c>
      <c r="K5" s="16">
        <v>100</v>
      </c>
      <c r="L5" s="13">
        <v>8</v>
      </c>
      <c r="M5" s="23">
        <f t="shared" si="0"/>
        <v>48</v>
      </c>
      <c r="N5" s="37" t="s">
        <v>22</v>
      </c>
    </row>
    <row r="6" spans="1:30" ht="15.75" thickBot="1">
      <c r="A6" s="6">
        <v>4</v>
      </c>
      <c r="B6" s="124"/>
      <c r="C6" s="59" t="s">
        <v>37</v>
      </c>
      <c r="D6" s="55" t="s">
        <v>38</v>
      </c>
      <c r="E6" s="60" t="s">
        <v>16</v>
      </c>
      <c r="F6" s="58" t="s">
        <v>39</v>
      </c>
      <c r="G6" s="61" t="s">
        <v>40</v>
      </c>
      <c r="H6" s="18" t="s">
        <v>41</v>
      </c>
      <c r="I6" s="55" t="s">
        <v>42</v>
      </c>
      <c r="J6" s="60" t="s">
        <v>43</v>
      </c>
      <c r="K6" s="16">
        <v>50</v>
      </c>
      <c r="L6" s="17">
        <v>3</v>
      </c>
      <c r="M6" s="23">
        <f t="shared" si="0"/>
        <v>18</v>
      </c>
      <c r="N6" s="62" t="s">
        <v>22</v>
      </c>
    </row>
    <row r="7" spans="1:30" ht="15.75" thickBot="1">
      <c r="A7" s="6">
        <v>5</v>
      </c>
      <c r="B7" s="124"/>
      <c r="C7" s="59" t="s">
        <v>44</v>
      </c>
      <c r="D7" s="55" t="s">
        <v>45</v>
      </c>
      <c r="E7" s="60" t="s">
        <v>16</v>
      </c>
      <c r="F7" s="58" t="s">
        <v>46</v>
      </c>
      <c r="G7" s="61" t="s">
        <v>47</v>
      </c>
      <c r="H7" s="18" t="s">
        <v>48</v>
      </c>
      <c r="I7" s="18" t="s">
        <v>49</v>
      </c>
      <c r="J7" s="60" t="s">
        <v>50</v>
      </c>
      <c r="K7" s="16">
        <v>10</v>
      </c>
      <c r="L7" s="17">
        <v>1</v>
      </c>
      <c r="M7" s="23">
        <f t="shared" si="0"/>
        <v>6</v>
      </c>
      <c r="N7" s="62" t="s">
        <v>22</v>
      </c>
    </row>
    <row r="8" spans="1:30" ht="15.75" thickBot="1">
      <c r="A8" s="6">
        <v>6</v>
      </c>
      <c r="B8" s="124"/>
      <c r="C8" s="59" t="s">
        <v>51</v>
      </c>
      <c r="D8" s="55" t="s">
        <v>52</v>
      </c>
      <c r="E8" s="60" t="s">
        <v>53</v>
      </c>
      <c r="F8" s="55" t="s">
        <v>54</v>
      </c>
      <c r="G8" s="61" t="s">
        <v>55</v>
      </c>
      <c r="H8" s="18" t="s">
        <v>56</v>
      </c>
      <c r="I8" s="57" t="s">
        <v>20</v>
      </c>
      <c r="J8" s="60" t="s">
        <v>57</v>
      </c>
      <c r="K8" s="16">
        <v>10</v>
      </c>
      <c r="L8" s="38">
        <v>1</v>
      </c>
      <c r="M8" s="23">
        <f t="shared" si="0"/>
        <v>6</v>
      </c>
      <c r="N8" s="63" t="s">
        <v>22</v>
      </c>
    </row>
    <row r="9" spans="1:30" ht="15.75" thickBot="1">
      <c r="A9" s="6">
        <v>7</v>
      </c>
      <c r="B9" s="124"/>
      <c r="C9" s="59" t="s">
        <v>58</v>
      </c>
      <c r="D9" s="55" t="s">
        <v>59</v>
      </c>
      <c r="E9" s="60" t="s">
        <v>53</v>
      </c>
      <c r="F9" s="55" t="s">
        <v>60</v>
      </c>
      <c r="G9" s="61" t="s">
        <v>55</v>
      </c>
      <c r="H9" s="18" t="s">
        <v>61</v>
      </c>
      <c r="I9" s="57" t="s">
        <v>20</v>
      </c>
      <c r="J9" s="60" t="s">
        <v>57</v>
      </c>
      <c r="K9" s="16">
        <v>12</v>
      </c>
      <c r="L9" s="38">
        <v>2</v>
      </c>
      <c r="M9" s="23">
        <f t="shared" si="0"/>
        <v>12</v>
      </c>
      <c r="N9" s="63" t="s">
        <v>22</v>
      </c>
      <c r="O9" s="47"/>
    </row>
    <row r="10" spans="1:30" ht="15.75" thickBot="1">
      <c r="A10" s="6">
        <v>8</v>
      </c>
      <c r="B10" s="124"/>
      <c r="C10" s="95" t="s">
        <v>189</v>
      </c>
      <c r="D10" s="126" t="s">
        <v>62</v>
      </c>
      <c r="E10" s="94" t="s">
        <v>16</v>
      </c>
      <c r="F10" s="94" t="s">
        <v>190</v>
      </c>
      <c r="G10" s="61" t="s">
        <v>27</v>
      </c>
      <c r="H10" s="18"/>
      <c r="I10" s="57" t="s">
        <v>20</v>
      </c>
      <c r="J10" s="60" t="s">
        <v>63</v>
      </c>
      <c r="K10" s="16">
        <v>20</v>
      </c>
      <c r="L10" s="17">
        <v>1</v>
      </c>
      <c r="M10" s="23">
        <f t="shared" si="0"/>
        <v>6</v>
      </c>
      <c r="N10" s="106" t="s">
        <v>22</v>
      </c>
      <c r="O10" s="47"/>
    </row>
    <row r="11" spans="1:30" ht="15.75" thickBot="1">
      <c r="A11" s="6">
        <v>9</v>
      </c>
      <c r="B11" s="124"/>
      <c r="C11" s="59" t="s">
        <v>191</v>
      </c>
      <c r="D11" s="55" t="s">
        <v>64</v>
      </c>
      <c r="E11" s="60" t="s">
        <v>25</v>
      </c>
      <c r="F11" s="55" t="s">
        <v>192</v>
      </c>
      <c r="G11" s="61" t="s">
        <v>18</v>
      </c>
      <c r="H11" s="18"/>
      <c r="I11" s="57" t="s">
        <v>20</v>
      </c>
      <c r="J11" s="60" t="s">
        <v>65</v>
      </c>
      <c r="K11" s="16">
        <v>10</v>
      </c>
      <c r="L11" s="17">
        <v>1</v>
      </c>
      <c r="M11" s="23">
        <f t="shared" si="0"/>
        <v>6</v>
      </c>
      <c r="N11" s="106" t="s">
        <v>22</v>
      </c>
      <c r="O11" s="48"/>
    </row>
    <row r="12" spans="1:30" ht="15.75" thickBot="1">
      <c r="A12" s="6">
        <v>10</v>
      </c>
      <c r="B12" s="125"/>
      <c r="C12" s="64" t="s">
        <v>66</v>
      </c>
      <c r="D12" s="65" t="s">
        <v>67</v>
      </c>
      <c r="E12" s="66" t="s">
        <v>68</v>
      </c>
      <c r="F12" s="65" t="s">
        <v>69</v>
      </c>
      <c r="G12" s="67" t="s">
        <v>70</v>
      </c>
      <c r="H12" s="22" t="s">
        <v>71</v>
      </c>
      <c r="I12" s="68" t="s">
        <v>20</v>
      </c>
      <c r="J12" s="66" t="s">
        <v>72</v>
      </c>
      <c r="K12" s="20">
        <v>50</v>
      </c>
      <c r="L12" s="21">
        <v>1</v>
      </c>
      <c r="M12" s="23">
        <f t="shared" si="0"/>
        <v>6</v>
      </c>
      <c r="N12" s="69" t="s">
        <v>22</v>
      </c>
      <c r="O12" s="47"/>
    </row>
    <row r="13" spans="1:30" ht="15.75" thickBot="1">
      <c r="A13" s="6">
        <v>11</v>
      </c>
      <c r="B13" s="123" t="s">
        <v>73</v>
      </c>
      <c r="C13" s="70" t="s">
        <v>74</v>
      </c>
      <c r="D13" s="52" t="s">
        <v>75</v>
      </c>
      <c r="E13" s="71" t="s">
        <v>76</v>
      </c>
      <c r="F13" s="52" t="s">
        <v>77</v>
      </c>
      <c r="G13" s="71" t="s">
        <v>78</v>
      </c>
      <c r="H13" s="24" t="s">
        <v>79</v>
      </c>
      <c r="I13" s="53" t="s">
        <v>20</v>
      </c>
      <c r="J13" s="72" t="s">
        <v>80</v>
      </c>
      <c r="K13" s="23">
        <v>7</v>
      </c>
      <c r="L13" s="39">
        <v>1</v>
      </c>
      <c r="M13" s="23">
        <f t="shared" si="0"/>
        <v>6</v>
      </c>
      <c r="N13" s="73" t="s">
        <v>22</v>
      </c>
      <c r="O13" s="47"/>
    </row>
    <row r="14" spans="1:30" ht="15.75" thickBot="1">
      <c r="A14" s="6">
        <v>12</v>
      </c>
      <c r="B14" s="125"/>
      <c r="C14" s="64" t="s">
        <v>81</v>
      </c>
      <c r="D14" s="65" t="s">
        <v>82</v>
      </c>
      <c r="E14" s="66" t="s">
        <v>83</v>
      </c>
      <c r="F14" s="65" t="s">
        <v>84</v>
      </c>
      <c r="G14" s="66" t="s">
        <v>85</v>
      </c>
      <c r="H14" s="68" t="s">
        <v>86</v>
      </c>
      <c r="I14" s="68" t="s">
        <v>20</v>
      </c>
      <c r="J14" s="67" t="s">
        <v>80</v>
      </c>
      <c r="K14" s="20">
        <v>20</v>
      </c>
      <c r="L14" s="40">
        <v>1</v>
      </c>
      <c r="M14" s="23">
        <f t="shared" si="0"/>
        <v>6</v>
      </c>
      <c r="N14" s="69" t="s">
        <v>22</v>
      </c>
      <c r="O14" s="47"/>
    </row>
    <row r="15" spans="1:30" ht="15.75" thickBot="1">
      <c r="A15" s="6">
        <v>13</v>
      </c>
      <c r="B15" s="11" t="s">
        <v>87</v>
      </c>
      <c r="C15" s="99" t="s">
        <v>88</v>
      </c>
      <c r="D15" s="100" t="s">
        <v>89</v>
      </c>
      <c r="E15" s="100" t="s">
        <v>90</v>
      </c>
      <c r="F15" s="100" t="s">
        <v>91</v>
      </c>
      <c r="G15" s="101" t="s">
        <v>92</v>
      </c>
      <c r="H15" s="101" t="s">
        <v>20</v>
      </c>
      <c r="I15" s="100" t="s">
        <v>20</v>
      </c>
      <c r="J15" s="101" t="s">
        <v>80</v>
      </c>
      <c r="K15" s="102">
        <v>7</v>
      </c>
      <c r="L15" s="102">
        <v>1</v>
      </c>
      <c r="M15" s="107">
        <f t="shared" si="0"/>
        <v>6</v>
      </c>
      <c r="N15" s="103" t="s">
        <v>22</v>
      </c>
      <c r="O15" s="47"/>
    </row>
    <row r="16" spans="1:30" ht="15.75" thickBot="1">
      <c r="A16" s="6"/>
      <c r="B16" s="123" t="s">
        <v>93</v>
      </c>
      <c r="C16" s="108" t="s">
        <v>201</v>
      </c>
      <c r="D16" s="109" t="s">
        <v>202</v>
      </c>
      <c r="E16" s="109" t="s">
        <v>203</v>
      </c>
      <c r="F16" s="109" t="s">
        <v>203</v>
      </c>
      <c r="G16" s="110" t="s">
        <v>204</v>
      </c>
      <c r="H16" s="110" t="s">
        <v>205</v>
      </c>
      <c r="I16" s="52" t="s">
        <v>20</v>
      </c>
      <c r="J16" s="53" t="s">
        <v>80</v>
      </c>
      <c r="K16" s="111">
        <v>10</v>
      </c>
      <c r="L16" s="111">
        <v>1</v>
      </c>
      <c r="M16" s="23">
        <f t="shared" si="0"/>
        <v>6</v>
      </c>
      <c r="N16" s="112" t="s">
        <v>22</v>
      </c>
      <c r="O16" s="47"/>
    </row>
    <row r="17" spans="1:15" ht="15.75" thickBot="1">
      <c r="A17" s="6">
        <v>14</v>
      </c>
      <c r="B17" s="125"/>
      <c r="C17" s="113" t="s">
        <v>94</v>
      </c>
      <c r="D17" s="114" t="s">
        <v>95</v>
      </c>
      <c r="E17" s="114" t="s">
        <v>53</v>
      </c>
      <c r="F17" s="114" t="s">
        <v>96</v>
      </c>
      <c r="G17" s="114" t="s">
        <v>97</v>
      </c>
      <c r="H17" s="115"/>
      <c r="I17" s="115"/>
      <c r="J17" s="114" t="s">
        <v>80</v>
      </c>
      <c r="K17" s="115">
        <v>7</v>
      </c>
      <c r="L17" s="115">
        <v>1</v>
      </c>
      <c r="M17" s="116">
        <f t="shared" si="0"/>
        <v>6</v>
      </c>
      <c r="N17" s="117" t="s">
        <v>98</v>
      </c>
      <c r="O17" s="47"/>
    </row>
    <row r="18" spans="1:15" ht="15.75" thickBot="1">
      <c r="A18" s="6">
        <v>15</v>
      </c>
      <c r="B18" s="123" t="s">
        <v>99</v>
      </c>
      <c r="C18" s="77" t="s">
        <v>100</v>
      </c>
      <c r="D18" s="52" t="s">
        <v>101</v>
      </c>
      <c r="E18" s="52" t="s">
        <v>102</v>
      </c>
      <c r="F18" s="52" t="s">
        <v>103</v>
      </c>
      <c r="G18" s="53" t="s">
        <v>70</v>
      </c>
      <c r="H18" s="24" t="s">
        <v>104</v>
      </c>
      <c r="I18" s="52" t="s">
        <v>20</v>
      </c>
      <c r="J18" s="52" t="s">
        <v>105</v>
      </c>
      <c r="K18" s="9">
        <v>100</v>
      </c>
      <c r="L18" s="9">
        <v>2</v>
      </c>
      <c r="M18" s="23">
        <f t="shared" si="0"/>
        <v>12</v>
      </c>
      <c r="N18" s="78" t="s">
        <v>22</v>
      </c>
      <c r="O18" s="47"/>
    </row>
    <row r="19" spans="1:15" ht="15.75" thickBot="1">
      <c r="A19" s="6"/>
      <c r="B19" s="124"/>
      <c r="C19" s="93" t="s">
        <v>193</v>
      </c>
      <c r="D19" s="94" t="s">
        <v>194</v>
      </c>
      <c r="E19" s="94" t="s">
        <v>102</v>
      </c>
      <c r="F19" s="94" t="s">
        <v>195</v>
      </c>
      <c r="G19" s="75" t="s">
        <v>179</v>
      </c>
      <c r="H19" s="25"/>
      <c r="I19" s="52" t="s">
        <v>20</v>
      </c>
      <c r="J19" s="74"/>
      <c r="K19" s="96" t="s">
        <v>196</v>
      </c>
      <c r="L19" s="96">
        <v>1</v>
      </c>
      <c r="M19" s="23">
        <f t="shared" si="0"/>
        <v>6</v>
      </c>
      <c r="N19" s="76" t="s">
        <v>206</v>
      </c>
      <c r="O19" s="47"/>
    </row>
    <row r="20" spans="1:15" ht="15.75" thickBot="1">
      <c r="A20" s="6">
        <v>16</v>
      </c>
      <c r="B20" s="124"/>
      <c r="C20" s="79" t="s">
        <v>106</v>
      </c>
      <c r="D20" s="12" t="s">
        <v>107</v>
      </c>
      <c r="E20" s="55" t="s">
        <v>102</v>
      </c>
      <c r="F20" s="55" t="s">
        <v>108</v>
      </c>
      <c r="G20" s="57" t="s">
        <v>70</v>
      </c>
      <c r="H20" s="18" t="s">
        <v>109</v>
      </c>
      <c r="I20" s="55" t="s">
        <v>20</v>
      </c>
      <c r="J20" s="55" t="s">
        <v>110</v>
      </c>
      <c r="K20" s="12">
        <v>100</v>
      </c>
      <c r="L20" s="12">
        <v>2</v>
      </c>
      <c r="M20" s="23">
        <f t="shared" si="0"/>
        <v>12</v>
      </c>
      <c r="N20" s="80" t="s">
        <v>22</v>
      </c>
      <c r="O20" s="47"/>
    </row>
    <row r="21" spans="1:15" ht="15.75" thickBot="1">
      <c r="A21" s="6">
        <v>17</v>
      </c>
      <c r="B21" s="124"/>
      <c r="C21" s="79" t="s">
        <v>111</v>
      </c>
      <c r="D21" s="12" t="s">
        <v>112</v>
      </c>
      <c r="E21" s="55" t="s">
        <v>102</v>
      </c>
      <c r="F21" s="55" t="s">
        <v>113</v>
      </c>
      <c r="G21" s="57" t="s">
        <v>70</v>
      </c>
      <c r="H21" s="18" t="s">
        <v>114</v>
      </c>
      <c r="I21" s="55" t="s">
        <v>20</v>
      </c>
      <c r="J21" s="55" t="s">
        <v>115</v>
      </c>
      <c r="K21" s="12">
        <v>100</v>
      </c>
      <c r="L21" s="12">
        <v>3</v>
      </c>
      <c r="M21" s="23">
        <f t="shared" si="0"/>
        <v>18</v>
      </c>
      <c r="N21" s="80" t="s">
        <v>22</v>
      </c>
      <c r="O21" s="47"/>
    </row>
    <row r="22" spans="1:15" ht="15.75" thickBot="1">
      <c r="A22" s="6">
        <v>18</v>
      </c>
      <c r="B22" s="124"/>
      <c r="C22" s="79" t="s">
        <v>116</v>
      </c>
      <c r="D22" s="55" t="s">
        <v>117</v>
      </c>
      <c r="E22" s="55" t="s">
        <v>118</v>
      </c>
      <c r="F22" s="55" t="s">
        <v>119</v>
      </c>
      <c r="G22" s="57" t="s">
        <v>120</v>
      </c>
      <c r="H22" s="18" t="s">
        <v>121</v>
      </c>
      <c r="I22" s="55" t="s">
        <v>20</v>
      </c>
      <c r="J22" s="55" t="s">
        <v>122</v>
      </c>
      <c r="K22" s="12">
        <v>20</v>
      </c>
      <c r="L22" s="12">
        <v>2</v>
      </c>
      <c r="M22" s="23">
        <f t="shared" si="0"/>
        <v>12</v>
      </c>
      <c r="N22" s="80" t="s">
        <v>22</v>
      </c>
      <c r="O22" s="47"/>
    </row>
    <row r="23" spans="1:15" ht="15.75" thickBot="1">
      <c r="A23" s="6">
        <v>19</v>
      </c>
      <c r="B23" s="124"/>
      <c r="C23" s="79" t="s">
        <v>123</v>
      </c>
      <c r="D23" s="55" t="s">
        <v>124</v>
      </c>
      <c r="E23" s="55" t="s">
        <v>118</v>
      </c>
      <c r="F23" s="58" t="s">
        <v>125</v>
      </c>
      <c r="G23" s="57" t="s">
        <v>126</v>
      </c>
      <c r="H23" s="18" t="s">
        <v>127</v>
      </c>
      <c r="I23" s="57" t="s">
        <v>128</v>
      </c>
      <c r="J23" s="55" t="s">
        <v>129</v>
      </c>
      <c r="K23" s="12">
        <v>10</v>
      </c>
      <c r="L23" s="12">
        <v>1</v>
      </c>
      <c r="M23" s="23">
        <f t="shared" si="0"/>
        <v>6</v>
      </c>
      <c r="N23" s="80" t="s">
        <v>22</v>
      </c>
      <c r="O23" s="47"/>
    </row>
    <row r="24" spans="1:15" ht="15.75" thickBot="1">
      <c r="A24" s="6">
        <v>20</v>
      </c>
      <c r="B24" s="124"/>
      <c r="C24" s="79" t="s">
        <v>130</v>
      </c>
      <c r="D24" s="55" t="s">
        <v>131</v>
      </c>
      <c r="E24" s="55" t="s">
        <v>25</v>
      </c>
      <c r="F24" s="55" t="s">
        <v>132</v>
      </c>
      <c r="G24" s="57" t="s">
        <v>133</v>
      </c>
      <c r="H24" s="18" t="s">
        <v>134</v>
      </c>
      <c r="I24" s="55" t="s">
        <v>20</v>
      </c>
      <c r="J24" s="55" t="s">
        <v>135</v>
      </c>
      <c r="K24" s="12">
        <v>100</v>
      </c>
      <c r="L24" s="12">
        <v>1</v>
      </c>
      <c r="M24" s="23">
        <f t="shared" si="0"/>
        <v>6</v>
      </c>
      <c r="N24" s="80" t="s">
        <v>22</v>
      </c>
      <c r="O24" s="47"/>
    </row>
    <row r="25" spans="1:15" s="1" customFormat="1" ht="15.75" thickBot="1">
      <c r="A25" s="6">
        <v>21</v>
      </c>
      <c r="B25" s="125"/>
      <c r="C25" s="81" t="s">
        <v>136</v>
      </c>
      <c r="D25" s="19" t="s">
        <v>137</v>
      </c>
      <c r="E25" s="65" t="s">
        <v>102</v>
      </c>
      <c r="F25" s="65" t="s">
        <v>138</v>
      </c>
      <c r="G25" s="68" t="s">
        <v>70</v>
      </c>
      <c r="H25" s="22" t="s">
        <v>139</v>
      </c>
      <c r="I25" s="65" t="s">
        <v>20</v>
      </c>
      <c r="J25" s="65" t="s">
        <v>140</v>
      </c>
      <c r="K25" s="19">
        <v>100</v>
      </c>
      <c r="L25" s="22">
        <v>8</v>
      </c>
      <c r="M25" s="23">
        <f t="shared" si="0"/>
        <v>48</v>
      </c>
      <c r="N25" s="41" t="s">
        <v>22</v>
      </c>
      <c r="O25" s="49"/>
    </row>
    <row r="26" spans="1:15" ht="15.75" thickBot="1">
      <c r="A26" s="6">
        <v>22</v>
      </c>
      <c r="B26" s="123" t="s">
        <v>141</v>
      </c>
      <c r="C26" s="82" t="s">
        <v>142</v>
      </c>
      <c r="D26" s="83" t="s">
        <v>143</v>
      </c>
      <c r="E26" s="83" t="s">
        <v>144</v>
      </c>
      <c r="F26" s="83" t="s">
        <v>145</v>
      </c>
      <c r="G26" s="84" t="s">
        <v>146</v>
      </c>
      <c r="H26" s="84" t="s">
        <v>20</v>
      </c>
      <c r="I26" s="83" t="s">
        <v>20</v>
      </c>
      <c r="J26" s="84" t="s">
        <v>80</v>
      </c>
      <c r="K26" s="28">
        <v>10</v>
      </c>
      <c r="L26" s="28">
        <v>1</v>
      </c>
      <c r="M26" s="23">
        <f t="shared" si="0"/>
        <v>6</v>
      </c>
      <c r="N26" s="42" t="s">
        <v>147</v>
      </c>
      <c r="O26" s="47"/>
    </row>
    <row r="27" spans="1:15" ht="15.75" thickBot="1">
      <c r="A27" s="6">
        <v>23</v>
      </c>
      <c r="B27" s="124"/>
      <c r="C27" s="79" t="s">
        <v>148</v>
      </c>
      <c r="D27" s="55" t="s">
        <v>149</v>
      </c>
      <c r="E27" s="55" t="s">
        <v>150</v>
      </c>
      <c r="F27" s="55" t="s">
        <v>151</v>
      </c>
      <c r="G27" s="57" t="s">
        <v>152</v>
      </c>
      <c r="H27" s="18" t="s">
        <v>153</v>
      </c>
      <c r="I27" s="55" t="s">
        <v>20</v>
      </c>
      <c r="J27" s="57" t="s">
        <v>80</v>
      </c>
      <c r="K27" s="18">
        <v>6</v>
      </c>
      <c r="L27" s="18">
        <v>1</v>
      </c>
      <c r="M27" s="23">
        <f t="shared" si="0"/>
        <v>6</v>
      </c>
      <c r="N27" s="80" t="s">
        <v>22</v>
      </c>
      <c r="O27" s="47"/>
    </row>
    <row r="28" spans="1:15" ht="15.75" thickBot="1">
      <c r="A28" s="6">
        <v>24</v>
      </c>
      <c r="B28" s="125"/>
      <c r="C28" s="97" t="s">
        <v>197</v>
      </c>
      <c r="D28" s="94" t="s">
        <v>154</v>
      </c>
      <c r="E28" s="94" t="s">
        <v>198</v>
      </c>
      <c r="F28" s="98" t="s">
        <v>200</v>
      </c>
      <c r="G28" s="65" t="s">
        <v>199</v>
      </c>
      <c r="H28" s="22"/>
      <c r="I28" s="65" t="s">
        <v>20</v>
      </c>
      <c r="J28" s="68" t="s">
        <v>155</v>
      </c>
      <c r="K28" s="22">
        <v>6</v>
      </c>
      <c r="L28" s="22">
        <v>1</v>
      </c>
      <c r="M28" s="23">
        <f t="shared" si="0"/>
        <v>6</v>
      </c>
      <c r="N28" s="104" t="s">
        <v>98</v>
      </c>
      <c r="O28" s="47"/>
    </row>
    <row r="29" spans="1:15" ht="15.75" thickBot="1">
      <c r="A29" s="6">
        <v>25</v>
      </c>
      <c r="B29" s="123" t="s">
        <v>156</v>
      </c>
      <c r="C29" s="82" t="s">
        <v>157</v>
      </c>
      <c r="D29" s="83" t="s">
        <v>158</v>
      </c>
      <c r="E29" s="83" t="s">
        <v>159</v>
      </c>
      <c r="F29" s="83" t="s">
        <v>159</v>
      </c>
      <c r="G29" s="83" t="s">
        <v>160</v>
      </c>
      <c r="H29" s="83" t="s">
        <v>20</v>
      </c>
      <c r="I29" s="83" t="s">
        <v>20</v>
      </c>
      <c r="J29" s="83" t="s">
        <v>80</v>
      </c>
      <c r="K29" s="27">
        <v>100</v>
      </c>
      <c r="L29" s="27">
        <v>1</v>
      </c>
      <c r="M29" s="23">
        <f t="shared" si="0"/>
        <v>6</v>
      </c>
      <c r="N29" s="43" t="s">
        <v>161</v>
      </c>
      <c r="O29" s="47"/>
    </row>
    <row r="30" spans="1:15" ht="15.75" thickBot="1">
      <c r="A30" s="6">
        <v>26</v>
      </c>
      <c r="B30" s="124"/>
      <c r="C30" s="85" t="s">
        <v>162</v>
      </c>
      <c r="D30" s="86" t="s">
        <v>163</v>
      </c>
      <c r="E30" s="86" t="s">
        <v>53</v>
      </c>
      <c r="F30" s="86" t="s">
        <v>164</v>
      </c>
      <c r="G30" s="86" t="s">
        <v>165</v>
      </c>
      <c r="H30" s="86" t="s">
        <v>20</v>
      </c>
      <c r="I30" s="86" t="s">
        <v>20</v>
      </c>
      <c r="J30" s="87" t="s">
        <v>166</v>
      </c>
      <c r="K30" s="44">
        <v>12</v>
      </c>
      <c r="L30" s="29">
        <v>2</v>
      </c>
      <c r="M30" s="23">
        <f t="shared" si="0"/>
        <v>12</v>
      </c>
      <c r="N30" s="45" t="s">
        <v>167</v>
      </c>
      <c r="O30" s="47"/>
    </row>
    <row r="31" spans="1:15" ht="15.75" thickBot="1">
      <c r="A31" s="6">
        <v>27</v>
      </c>
      <c r="B31" s="124"/>
      <c r="C31" s="85" t="s">
        <v>168</v>
      </c>
      <c r="D31" s="86" t="s">
        <v>169</v>
      </c>
      <c r="E31" s="86" t="s">
        <v>53</v>
      </c>
      <c r="F31" s="86" t="s">
        <v>170</v>
      </c>
      <c r="G31" s="86" t="s">
        <v>160</v>
      </c>
      <c r="H31" s="86" t="s">
        <v>20</v>
      </c>
      <c r="I31" s="86" t="s">
        <v>20</v>
      </c>
      <c r="J31" s="87" t="s">
        <v>80</v>
      </c>
      <c r="K31" s="44">
        <v>10</v>
      </c>
      <c r="L31" s="29">
        <v>1</v>
      </c>
      <c r="M31" s="23">
        <f t="shared" si="0"/>
        <v>6</v>
      </c>
      <c r="N31" s="45" t="s">
        <v>161</v>
      </c>
      <c r="O31" s="47"/>
    </row>
    <row r="32" spans="1:15" ht="15.75" thickBot="1">
      <c r="A32" s="6">
        <v>28</v>
      </c>
      <c r="B32" s="124"/>
      <c r="C32" s="26" t="s">
        <v>171</v>
      </c>
      <c r="D32" s="55" t="s">
        <v>172</v>
      </c>
      <c r="E32" s="55" t="s">
        <v>53</v>
      </c>
      <c r="F32" s="55" t="s">
        <v>173</v>
      </c>
      <c r="G32" s="55" t="s">
        <v>174</v>
      </c>
      <c r="H32" s="55" t="s">
        <v>173</v>
      </c>
      <c r="I32" s="55" t="s">
        <v>20</v>
      </c>
      <c r="J32" s="57" t="s">
        <v>166</v>
      </c>
      <c r="K32" s="18">
        <v>20</v>
      </c>
      <c r="L32" s="12">
        <v>1</v>
      </c>
      <c r="M32" s="23">
        <f t="shared" si="0"/>
        <v>6</v>
      </c>
      <c r="N32" s="46" t="s">
        <v>22</v>
      </c>
      <c r="O32" s="47"/>
    </row>
    <row r="33" spans="1:15" ht="15.75" thickBot="1">
      <c r="A33" s="6">
        <v>29</v>
      </c>
      <c r="B33" s="124"/>
      <c r="C33" s="79" t="s">
        <v>175</v>
      </c>
      <c r="D33" s="55" t="s">
        <v>176</v>
      </c>
      <c r="E33" s="55" t="s">
        <v>177</v>
      </c>
      <c r="F33" s="55" t="s">
        <v>178</v>
      </c>
      <c r="G33" s="55" t="s">
        <v>179</v>
      </c>
      <c r="H33" s="18" t="s">
        <v>180</v>
      </c>
      <c r="I33" s="55" t="s">
        <v>20</v>
      </c>
      <c r="J33" s="57" t="s">
        <v>80</v>
      </c>
      <c r="K33" s="18">
        <v>15</v>
      </c>
      <c r="L33" s="18">
        <v>2</v>
      </c>
      <c r="M33" s="23">
        <f t="shared" si="0"/>
        <v>12</v>
      </c>
      <c r="N33" s="88" t="s">
        <v>22</v>
      </c>
      <c r="O33" s="47"/>
    </row>
    <row r="34" spans="1:15" ht="15.75" thickBot="1">
      <c r="A34" s="6">
        <v>30</v>
      </c>
      <c r="B34" s="124"/>
      <c r="C34" s="89" t="s">
        <v>181</v>
      </c>
      <c r="D34" s="30" t="s">
        <v>182</v>
      </c>
      <c r="E34" s="90" t="s">
        <v>183</v>
      </c>
      <c r="F34" s="30" t="s">
        <v>183</v>
      </c>
      <c r="G34" s="30"/>
      <c r="H34" s="30"/>
      <c r="I34" s="30"/>
      <c r="J34" s="30"/>
      <c r="K34" s="30"/>
      <c r="L34" s="30">
        <v>5</v>
      </c>
      <c r="M34" s="23">
        <f t="shared" si="0"/>
        <v>30</v>
      </c>
      <c r="N34" s="30" t="s">
        <v>20</v>
      </c>
      <c r="O34" s="47"/>
    </row>
    <row r="35" spans="1:15" ht="15.75" thickBot="1">
      <c r="A35" s="31">
        <v>31</v>
      </c>
      <c r="B35" s="125"/>
      <c r="C35" s="91" t="s">
        <v>184</v>
      </c>
      <c r="D35" s="32" t="s">
        <v>185</v>
      </c>
      <c r="E35" s="92" t="s">
        <v>186</v>
      </c>
      <c r="F35" s="32" t="s">
        <v>186</v>
      </c>
      <c r="G35" s="32"/>
      <c r="H35" s="32"/>
      <c r="I35" s="32"/>
      <c r="J35" s="32"/>
      <c r="K35" s="32"/>
      <c r="L35" s="32">
        <v>5</v>
      </c>
      <c r="M35" s="23">
        <f t="shared" si="0"/>
        <v>30</v>
      </c>
      <c r="N35" s="30" t="s">
        <v>20</v>
      </c>
      <c r="O35" s="47"/>
    </row>
    <row r="36" spans="1:15" ht="16.5" thickBot="1">
      <c r="A36"/>
      <c r="C36" s="33"/>
      <c r="D36" s="33"/>
      <c r="E36" s="33"/>
      <c r="F36" s="33"/>
      <c r="G36" s="33"/>
      <c r="H36" s="33"/>
      <c r="I36" s="33"/>
      <c r="J36" s="33"/>
      <c r="K36" s="33"/>
      <c r="L36" s="121" t="s">
        <v>187</v>
      </c>
      <c r="M36" s="121"/>
      <c r="N36" s="121"/>
      <c r="O36" s="47"/>
    </row>
    <row r="37" spans="1:15" ht="15.75">
      <c r="A37"/>
      <c r="C37" s="33"/>
      <c r="D37" s="33"/>
      <c r="E37" s="33"/>
      <c r="F37" s="33"/>
      <c r="G37" s="33"/>
      <c r="H37" s="33"/>
      <c r="I37" s="33"/>
      <c r="J37" s="33"/>
      <c r="K37" s="33"/>
      <c r="L37" s="122" t="s">
        <v>188</v>
      </c>
      <c r="M37" s="122"/>
      <c r="N37" s="122"/>
      <c r="O37" s="47"/>
    </row>
    <row r="38" spans="1:15">
      <c r="A38"/>
      <c r="O38" s="47"/>
    </row>
    <row r="39" spans="1:15">
      <c r="A39"/>
      <c r="O39" s="47"/>
    </row>
    <row r="40" spans="1:15">
      <c r="A40"/>
      <c r="O40" s="47"/>
    </row>
    <row r="41" spans="1:15">
      <c r="A41"/>
      <c r="O41" s="47"/>
    </row>
    <row r="42" spans="1:15">
      <c r="A42"/>
      <c r="O42" s="47"/>
    </row>
    <row r="43" spans="1:15">
      <c r="A43"/>
      <c r="O43" s="47"/>
    </row>
    <row r="44" spans="1:15">
      <c r="A44"/>
      <c r="O44" s="47"/>
    </row>
    <row r="45" spans="1:15" ht="15.75" customHeight="1">
      <c r="A45"/>
      <c r="C45" t="s">
        <v>214</v>
      </c>
      <c r="D45" t="s">
        <v>209</v>
      </c>
      <c r="E45" t="s">
        <v>210</v>
      </c>
      <c r="F45" s="55" t="s">
        <v>211</v>
      </c>
      <c r="G45" t="s">
        <v>212</v>
      </c>
      <c r="H45" s="2" t="s">
        <v>213</v>
      </c>
      <c r="K45">
        <v>7</v>
      </c>
      <c r="N45" s="127" t="s">
        <v>22</v>
      </c>
      <c r="O45" s="47"/>
    </row>
    <row r="46" spans="1:15">
      <c r="A46"/>
      <c r="O46" s="47"/>
    </row>
    <row r="47" spans="1:15">
      <c r="A47"/>
      <c r="O47" s="47"/>
    </row>
    <row r="48" spans="1:15">
      <c r="A48"/>
      <c r="O48" s="47"/>
    </row>
    <row r="49" spans="1:15">
      <c r="A49"/>
      <c r="O49" s="47"/>
    </row>
    <row r="50" spans="1:15">
      <c r="A50"/>
      <c r="O50" s="47"/>
    </row>
    <row r="51" spans="1:15">
      <c r="H51" s="34"/>
    </row>
    <row r="52" spans="1:15">
      <c r="H52" s="34"/>
    </row>
  </sheetData>
  <mergeCells count="9">
    <mergeCell ref="A1:N1"/>
    <mergeCell ref="L36:N36"/>
    <mergeCell ref="L37:N37"/>
    <mergeCell ref="B3:B12"/>
    <mergeCell ref="B13:B14"/>
    <mergeCell ref="B18:B25"/>
    <mergeCell ref="B26:B28"/>
    <mergeCell ref="B29:B35"/>
    <mergeCell ref="B16:B17"/>
  </mergeCells>
  <conditionalFormatting sqref="N17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L29:M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:L10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4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N25:N26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L11:L28 L33 M3:M35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3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8" r:id="rId1" xr:uid="{00000000-0004-0000-0000-000000000000}"/>
    <hyperlink ref="N9" r:id="rId2" xr:uid="{00000000-0004-0000-0000-000001000000}"/>
    <hyperlink ref="N12" r:id="rId3" xr:uid="{00000000-0004-0000-0000-000004000000}"/>
    <hyperlink ref="N13" r:id="rId4" xr:uid="{00000000-0004-0000-0000-000005000000}"/>
    <hyperlink ref="N14" r:id="rId5" xr:uid="{00000000-0004-0000-0000-000006000000}"/>
    <hyperlink ref="N18" r:id="rId6" xr:uid="{00000000-0004-0000-0000-000007000000}"/>
    <hyperlink ref="N20" r:id="rId7" xr:uid="{00000000-0004-0000-0000-000008000000}"/>
    <hyperlink ref="N21" r:id="rId8" xr:uid="{00000000-0004-0000-0000-000009000000}"/>
    <hyperlink ref="N22" r:id="rId9" xr:uid="{00000000-0004-0000-0000-00000A000000}"/>
    <hyperlink ref="N24" r:id="rId10" xr:uid="{00000000-0004-0000-0000-00000B000000}"/>
    <hyperlink ref="N25" r:id="rId11" xr:uid="{00000000-0004-0000-0000-00000C000000}"/>
    <hyperlink ref="N27" r:id="rId12" xr:uid="{00000000-0004-0000-0000-00000D000000}"/>
    <hyperlink ref="N33" r:id="rId13" xr:uid="{00000000-0004-0000-0000-00000F000000}"/>
    <hyperlink ref="N6" r:id="rId14" xr:uid="{00000000-0004-0000-0000-000010000000}"/>
    <hyperlink ref="N7" r:id="rId15" xr:uid="{00000000-0004-0000-0000-000011000000}"/>
    <hyperlink ref="N23" r:id="rId16" xr:uid="{00000000-0004-0000-0000-000012000000}"/>
    <hyperlink ref="N26" r:id="rId17" xr:uid="{00000000-0004-0000-0000-000013000000}"/>
    <hyperlink ref="N3" r:id="rId18" xr:uid="{00000000-0004-0000-0000-000014000000}"/>
    <hyperlink ref="N4" r:id="rId19" xr:uid="{00000000-0004-0000-0000-000015000000}"/>
    <hyperlink ref="N5" r:id="rId20" xr:uid="{00000000-0004-0000-0000-000016000000}"/>
    <hyperlink ref="N29" r:id="rId21" xr:uid="{00000000-0004-0000-0000-000017000000}"/>
    <hyperlink ref="N31" r:id="rId22" xr:uid="{00000000-0004-0000-0000-000018000000}"/>
    <hyperlink ref="N15" r:id="rId23" xr:uid="{00000000-0004-0000-0000-000019000000}"/>
    <hyperlink ref="N32" r:id="rId24" xr:uid="{00000000-0004-0000-0000-00001A000000}"/>
    <hyperlink ref="N16" r:id="rId25" xr:uid="{5EAF2F70-555A-4B25-966F-95095861DC0E}"/>
    <hyperlink ref="N19" r:id="rId26" xr:uid="{6B884554-8BB6-4BF7-8096-D834E9729A06}"/>
    <hyperlink ref="N10" r:id="rId27" xr:uid="{44B658D6-BFFD-46B9-B230-29405BAF9534}"/>
    <hyperlink ref="N11" r:id="rId28" xr:uid="{367FEFFE-61E8-47BB-BCCA-FD3358349566}"/>
    <hyperlink ref="N45" r:id="rId29" xr:uid="{0E7C5907-BF33-4ACE-BFFF-DA9477BCE030}"/>
  </hyperlinks>
  <pageMargins left="0.7" right="0.7" top="0.75" bottom="0.75" header="0.3" footer="0.3"/>
  <pageSetup orientation="portrait" r:id="rId3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N17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N3:N4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N25:N26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2021-06-08T13:45:00Z</dcterms:created>
  <dcterms:modified xsi:type="dcterms:W3CDTF">2022-04-13T09:46:49Z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