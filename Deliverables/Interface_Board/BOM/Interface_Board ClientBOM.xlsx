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Faizan\GitHub\ChristianRaun-EthercatDesign\Design-Files\InterfaceBoard-DesignFiles\Project Outputs for Interface_Board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9" i="1" l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<sst xmlns="http://schemas.openxmlformats.org/spreadsheetml/2006/main" count="297" uniqueCount="211">
  <si>
    <t>Component list</t>
  </si>
  <si>
    <t>Source Data From:</t>
  </si>
  <si>
    <t>Project:</t>
  </si>
  <si>
    <t>Variant:</t>
  </si>
  <si>
    <t>#</t>
  </si>
  <si>
    <t>Approved</t>
  </si>
  <si>
    <t>Notes</t>
  </si>
  <si>
    <t>None</t>
  </si>
  <si>
    <t>Designator</t>
  </si>
  <si>
    <t>C1</t>
  </si>
  <si>
    <t>C2</t>
  </si>
  <si>
    <t>C43</t>
  </si>
  <si>
    <t>C44, C#9, C#10</t>
  </si>
  <si>
    <t>C45</t>
  </si>
  <si>
    <t>C48, C49, C50, C51, C52, C53, C54, C55</t>
  </si>
  <si>
    <t>C56, C57, C#8</t>
  </si>
  <si>
    <t>C58</t>
  </si>
  <si>
    <t>C#1, C#2, C#3, C#4, C#11, C#12</t>
  </si>
  <si>
    <t>C#5</t>
  </si>
  <si>
    <t>C#6, C#7</t>
  </si>
  <si>
    <t>D2</t>
  </si>
  <si>
    <t>D3</t>
  </si>
  <si>
    <t>D4</t>
  </si>
  <si>
    <t>D5</t>
  </si>
  <si>
    <t>J1</t>
  </si>
  <si>
    <t>J2, J3</t>
  </si>
  <si>
    <t>J4</t>
  </si>
  <si>
    <t>L1</t>
  </si>
  <si>
    <t>L10</t>
  </si>
  <si>
    <t>P1</t>
  </si>
  <si>
    <t>P2, P3</t>
  </si>
  <si>
    <t>P4, P5, P6, P7, P8</t>
  </si>
  <si>
    <t>Q1</t>
  </si>
  <si>
    <t>Q2</t>
  </si>
  <si>
    <t>R1, R#, R#1</t>
  </si>
  <si>
    <t>R2</t>
  </si>
  <si>
    <t>R27</t>
  </si>
  <si>
    <t>R28</t>
  </si>
  <si>
    <t>R29</t>
  </si>
  <si>
    <t>R30, R31, R32, R34, R35, R36, R37, R38</t>
  </si>
  <si>
    <t>R33, R39</t>
  </si>
  <si>
    <t>R#3</t>
  </si>
  <si>
    <t>R#4</t>
  </si>
  <si>
    <t>R#5</t>
  </si>
  <si>
    <t>R#6, R#7</t>
  </si>
  <si>
    <t>SB1</t>
  </si>
  <si>
    <t>U1</t>
  </si>
  <si>
    <t>U3</t>
  </si>
  <si>
    <t>U7</t>
  </si>
  <si>
    <t>Description</t>
  </si>
  <si>
    <t>CAP CER 10UF 25V X5R 0603</t>
  </si>
  <si>
    <t>CAP CER 22UF 25V X5R 0805</t>
  </si>
  <si>
    <t>25V 5mm 10mm 100uF 100kHz SMD,5x10mm Aluminum Electrolytic Cap- SMD ROHS</t>
  </si>
  <si>
    <t>63V 10mm 8mm 100uF ±20% ,8x10mm Aluminum Electrolytic Cap</t>
  </si>
  <si>
    <t>CAP CER 1UF 100V X7S 0805</t>
  </si>
  <si>
    <t>CAP CER 10PF 50V C0G/NP0 0603</t>
  </si>
  <si>
    <t>CAP CER 0.022UF 100V X7R 0603</t>
  </si>
  <si>
    <t>1206 1 nF 2 kV ±10 % Tolerance X7R SMT Multilayer Ceramic Capacitor</t>
  </si>
  <si>
    <t>CAP CER 0.1UF 100V X7R 0603</t>
  </si>
  <si>
    <t>CAP CER 4.7UF 25V X5R 0603</t>
  </si>
  <si>
    <t>CAP CER 0.47UF 100V X7S 0805</t>
  </si>
  <si>
    <t>Diode Schottky 30V 3A 2-Pin SOD-128 T/R</t>
  </si>
  <si>
    <t>SOD-523 Schottky Barrier Diodes (SBD) ROHS</t>
  </si>
  <si>
    <t>1μA@2V 40Ω Single 5.2V~6V 500mW 5.6V SOD123G Zener Diodes ROHS</t>
  </si>
  <si>
    <t>8.6A 69.4V 47.8V 43V Unidirectional SMB(DO-214AA) TVS ROHS</t>
  </si>
  <si>
    <t>P=2.54mm Female Headers,SMD,ROHS</t>
  </si>
  <si>
    <t>Through Hole Ethernet Connectors/Modular Connectors (RJ45 RJ11) ROHS</t>
  </si>
  <si>
    <t>CONN HEADER 4 POS 2.54mm SMD</t>
  </si>
  <si>
    <t>IND SMD 1.5A 2.2uH ±20% 135mΩ</t>
  </si>
  <si>
    <t>FIXED IND 33UH 2.5A 189.2MOHM SM</t>
  </si>
  <si>
    <t>Straight 1 6 2.54mm Black Brass Plugin,P=2.54mm Pin Headers ROHS</t>
  </si>
  <si>
    <t>CONN HEADER VERT 2POS 2.54MM</t>
  </si>
  <si>
    <t>Test Point ON</t>
  </si>
  <si>
    <t>MOSFET N-CH 20V 4.2A SOT23</t>
  </si>
  <si>
    <t>80V 500mW 1A 63@150mA,2V 130MHz 500mV@500mA,50mA NPN +150℃@(Tj) SOT-89(SOT-89-3) Bipolar Transistors - BJT ROHS</t>
  </si>
  <si>
    <t>RES SMD 10K OHM 5% 1/10W 0603</t>
  </si>
  <si>
    <t>RES SMD 100K OHM 5% 1/5W 0603</t>
  </si>
  <si>
    <t>RES 0.075 OHM 1% 2W 2512</t>
  </si>
  <si>
    <t>RES SMD 9kΩ ±100ppm/℃ 0.125W 0805</t>
  </si>
  <si>
    <t>RES SMD 1K OHM 1% 1/10W 0603</t>
  </si>
  <si>
    <t>RES 49.9 OHM 1% 1/10W 0603</t>
  </si>
  <si>
    <t>RES  SMD 330R 100 mW 0603</t>
  </si>
  <si>
    <t>RES SMD 22K OHM 0.1% 1/10W 0603</t>
  </si>
  <si>
    <t>RES 2.2 OHM 1% 1/10W 0603</t>
  </si>
  <si>
    <t>RES SMD 100 OHM 1% 1/10W 0603</t>
  </si>
  <si>
    <t>RES SMD 150m ohms 1/4 1206</t>
  </si>
  <si>
    <t>Solder Bridge ON</t>
  </si>
  <si>
    <t>Buck Switching Regulator IC Positive Fixed 3.3V 1 Output 1A 8-WFDFN Exposed Pad</t>
  </si>
  <si>
    <t>IC STEPPER MOTOR DVR SPI 36QFN</t>
  </si>
  <si>
    <t>2A 40V SOIC-8_EP_150mil DC-DC Converters ROHS</t>
  </si>
  <si>
    <t>Footprint</t>
  </si>
  <si>
    <t>Cap0603</t>
  </si>
  <si>
    <t>Cap0805</t>
  </si>
  <si>
    <t>VKMB1001E101MV</t>
  </si>
  <si>
    <t>VKMD1001J101MV</t>
  </si>
  <si>
    <t>Cap1206</t>
  </si>
  <si>
    <t>MSK4010</t>
  </si>
  <si>
    <t>SOD123G</t>
  </si>
  <si>
    <t>SMB</t>
  </si>
  <si>
    <t>PHF254SMD-x</t>
  </si>
  <si>
    <t>HY951180A</t>
  </si>
  <si>
    <t>1125N1202SNM</t>
  </si>
  <si>
    <t>MCS20FC-2R2MMP</t>
  </si>
  <si>
    <t>ETQ-P4M330YFN</t>
  </si>
  <si>
    <t>C37208</t>
  </si>
  <si>
    <t>TEST POINT</t>
  </si>
  <si>
    <t>IRLML2502TRPBF</t>
  </si>
  <si>
    <t>SOT-89</t>
  </si>
  <si>
    <t>Res0603</t>
  </si>
  <si>
    <t>RES 2512</t>
  </si>
  <si>
    <t>RES 0805</t>
  </si>
  <si>
    <t>Res-1206</t>
  </si>
  <si>
    <t>Solder Bridge</t>
  </si>
  <si>
    <t>8-WSON (2x2)</t>
  </si>
  <si>
    <t>TMC2130-LA-T</t>
  </si>
  <si>
    <t>XL4001E1</t>
  </si>
  <si>
    <t>Manufacturer Part Number</t>
  </si>
  <si>
    <t>GRM188R61E106MA73J</t>
  </si>
  <si>
    <t>CC0805MKX5R8BB226</t>
  </si>
  <si>
    <t>GCM21BC72A105KE36L</t>
  </si>
  <si>
    <t>06035A100JAT2A/4K</t>
  </si>
  <si>
    <t>CGA3E2X7R2A223K080AA</t>
  </si>
  <si>
    <t>CC1206KKX7RDBB102</t>
  </si>
  <si>
    <t>CC0603KRX7R0BB104</t>
  </si>
  <si>
    <t>C1608X5R1E475M080AC</t>
  </si>
  <si>
    <t>C2012X7S2A474K125AB</t>
  </si>
  <si>
    <t>PMEG3030EP-115</t>
  </si>
  <si>
    <t>AC0603JR-0710KL</t>
  </si>
  <si>
    <t>CRGH0603J100K</t>
  </si>
  <si>
    <t>CSRN2512FK75L0</t>
  </si>
  <si>
    <t>RC0603FR-071KL</t>
  </si>
  <si>
    <t>RC0603FR-0749R9L</t>
  </si>
  <si>
    <t>RC0603JR-07330RL</t>
  </si>
  <si>
    <t>RT0603BRE0722KL</t>
  </si>
  <si>
    <t>RC0603FR-072R2L</t>
  </si>
  <si>
    <t>RC0603FR-07100RL</t>
  </si>
  <si>
    <t>TPS62162DSGR</t>
  </si>
  <si>
    <t>Manufacturer</t>
  </si>
  <si>
    <t>Murata</t>
  </si>
  <si>
    <t>Yageo</t>
  </si>
  <si>
    <t>Ymin</t>
  </si>
  <si>
    <t>Kyocera AVX</t>
  </si>
  <si>
    <t>TDK</t>
  </si>
  <si>
    <t>NXP Semiconductors</t>
  </si>
  <si>
    <t>Tak Cheong</t>
  </si>
  <si>
    <t>Yangzhou</t>
  </si>
  <si>
    <t>RUILON</t>
  </si>
  <si>
    <t>RTLECS</t>
  </si>
  <si>
    <t>HANRUN</t>
  </si>
  <si>
    <t>Panasonic</t>
  </si>
  <si>
    <t>BOOMELEC</t>
  </si>
  <si>
    <t>TE Connectivity</t>
  </si>
  <si>
    <t>International Rectifier</t>
  </si>
  <si>
    <t>Changjiang Electronics Tech</t>
  </si>
  <si>
    <t>Stackpole Electronics</t>
  </si>
  <si>
    <t>UNI-ROYAL</t>
  </si>
  <si>
    <t>Texas Instruments</t>
  </si>
  <si>
    <t>Trinamic</t>
  </si>
  <si>
    <t>XLSEMI</t>
  </si>
  <si>
    <t>Comment</t>
  </si>
  <si>
    <t>10uF</t>
  </si>
  <si>
    <t>22uF</t>
  </si>
  <si>
    <t>100uF</t>
  </si>
  <si>
    <t>1uF</t>
  </si>
  <si>
    <t>10pF</t>
  </si>
  <si>
    <t>22nF</t>
  </si>
  <si>
    <t>1000pF</t>
  </si>
  <si>
    <t>0.1uF</t>
  </si>
  <si>
    <t>4.7uF</t>
  </si>
  <si>
    <t>470nF</t>
  </si>
  <si>
    <t>MMSZ5V6CW</t>
  </si>
  <si>
    <t>SMBJ43A</t>
  </si>
  <si>
    <t>2.2uH</t>
  </si>
  <si>
    <t>33µH</t>
  </si>
  <si>
    <t>Test Point</t>
  </si>
  <si>
    <t>BCX56</t>
  </si>
  <si>
    <t>10K</t>
  </si>
  <si>
    <t>100K</t>
  </si>
  <si>
    <t>75m</t>
  </si>
  <si>
    <t>9K</t>
  </si>
  <si>
    <t>1K</t>
  </si>
  <si>
    <t>49R9</t>
  </si>
  <si>
    <t>330R</t>
  </si>
  <si>
    <t>22k</t>
  </si>
  <si>
    <t>2.2R</t>
  </si>
  <si>
    <t>100R</t>
  </si>
  <si>
    <t>150m</t>
  </si>
  <si>
    <t>Quantity</t>
  </si>
  <si>
    <t>Remarks</t>
  </si>
  <si>
    <t>Bill of Materials for Project EtherCAT Product v2.0</t>
  </si>
  <si>
    <t>Interface Board</t>
  </si>
  <si>
    <t>EtherCAT Product v2.0</t>
  </si>
  <si>
    <t>Capacitor</t>
  </si>
  <si>
    <t>Diode</t>
  </si>
  <si>
    <t>Header</t>
  </si>
  <si>
    <t>RJ45 Connector</t>
  </si>
  <si>
    <t>Inductor</t>
  </si>
  <si>
    <t>Transistor</t>
  </si>
  <si>
    <t>Resistor</t>
  </si>
  <si>
    <t>IC</t>
  </si>
  <si>
    <t>Item Name</t>
  </si>
  <si>
    <t>Custom</t>
  </si>
  <si>
    <t>Alternate</t>
  </si>
  <si>
    <t>-</t>
  </si>
  <si>
    <t>0805W8F9001T5E</t>
  </si>
  <si>
    <t>1206W4F150LT5E</t>
  </si>
  <si>
    <t>SOT23</t>
  </si>
  <si>
    <t>SOD-128</t>
  </si>
  <si>
    <t>SOD-523</t>
  </si>
  <si>
    <t>36-QFN</t>
  </si>
  <si>
    <t>SOIC-8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</si>
</sst>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51"/>
  <sheetViews>
    <sheetView tabSelected="1" topLeftCell="D1" workbookViewId="0">
      <selection activeCell="I47" sqref="I47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33.42578125" customWidth="1"/>
    <col min="9" max="9" width="21.42578125" bestFit="1" customWidth="1"/>
    <col min="10" max="10" width="17.85546875" bestFit="1" customWidth="1"/>
    <col min="11" max="11" width="16.7109375" bestFit="1" customWidth="1"/>
    <col min="12" max="12" width="29.42578125" customWidth="1"/>
  </cols>
  <sheetData>
    <row r="1" spans="1:12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58"/>
      <c r="K1" s="58"/>
      <c r="L1" s="58"/>
    </row>
    <row r="2" spans="1:12" ht="32.25" thickBot="1" x14ac:dyDescent="0.3">
      <c r="A2" s="1"/>
      <c r="B2" s="20"/>
      <c r="C2" s="46"/>
      <c r="D2" s="10" t="s">
        <v>0</v>
      </c>
      <c r="E2" s="10"/>
      <c r="F2" s="54" t="s">
        <v>189</v>
      </c>
      <c r="G2" s="11"/>
      <c r="H2" s="11"/>
      <c r="I2" s="3"/>
      <c r="J2" s="3"/>
      <c r="K2" s="3"/>
      <c r="L2" s="43"/>
    </row>
    <row r="3" spans="1:12" x14ac:dyDescent="0.25">
      <c r="A3" s="1"/>
      <c r="B3" s="21"/>
      <c r="C3" s="47"/>
      <c r="D3" s="12" t="s">
        <v>1</v>
      </c>
      <c r="E3" s="12"/>
      <c r="F3" s="55" t="s">
        <v>190</v>
      </c>
      <c r="G3" s="12"/>
      <c r="H3" s="12"/>
      <c r="I3" s="4"/>
      <c r="J3" s="4"/>
      <c r="K3" s="4"/>
      <c r="L3" s="59"/>
    </row>
    <row r="4" spans="1:12" x14ac:dyDescent="0.25">
      <c r="A4" s="1"/>
      <c r="B4" s="21"/>
      <c r="C4" s="47"/>
      <c r="D4" s="12" t="s">
        <v>2</v>
      </c>
      <c r="E4" s="12"/>
      <c r="F4" s="56" t="s">
        <v>191</v>
      </c>
      <c r="G4" s="13"/>
      <c r="H4" s="13"/>
      <c r="I4" s="6"/>
      <c r="J4" s="6"/>
      <c r="K4" s="6"/>
      <c r="L4" s="60"/>
    </row>
    <row r="5" spans="1:12" x14ac:dyDescent="0.25">
      <c r="A5" s="1"/>
      <c r="B5" s="21"/>
      <c r="C5" s="47"/>
      <c r="D5" s="12" t="s">
        <v>3</v>
      </c>
      <c r="E5" s="12"/>
      <c r="F5" s="57" t="s">
        <v>7</v>
      </c>
      <c r="G5" s="14"/>
      <c r="H5" s="14"/>
      <c r="I5" s="5"/>
      <c r="J5" s="5"/>
      <c r="K5" s="5"/>
      <c r="L5" s="60"/>
    </row>
    <row r="6" spans="1:12" x14ac:dyDescent="0.25">
      <c r="A6" s="1"/>
      <c r="B6" s="22"/>
      <c r="C6" s="48"/>
      <c r="D6" s="15"/>
      <c r="E6" s="15"/>
      <c r="F6" s="16"/>
      <c r="G6" s="14"/>
      <c r="H6" s="14"/>
      <c r="I6" s="5"/>
      <c r="J6" s="5"/>
      <c r="K6" s="5"/>
      <c r="L6" s="60"/>
    </row>
    <row r="7" spans="1:12" x14ac:dyDescent="0.25">
      <c r="A7" s="1"/>
      <c r="B7" s="23"/>
      <c r="C7" s="49"/>
      <c r="D7" s="17"/>
      <c r="E7" s="17"/>
      <c r="F7" s="18"/>
      <c r="G7" s="17"/>
      <c r="H7" s="17"/>
      <c r="I7" s="7"/>
      <c r="J7" s="7"/>
      <c r="K7" s="7"/>
      <c r="L7" s="60"/>
    </row>
    <row r="8" spans="1:12" ht="15.75" thickBot="1" x14ac:dyDescent="0.3">
      <c r="A8" s="1"/>
      <c r="B8" s="26"/>
      <c r="C8" s="50"/>
      <c r="D8" s="27"/>
      <c r="E8" s="27"/>
      <c r="F8" s="28"/>
      <c r="G8" s="17"/>
      <c r="H8" s="17"/>
      <c r="I8" s="7"/>
      <c r="J8" s="7"/>
      <c r="K8" s="7"/>
      <c r="L8" s="60"/>
    </row>
    <row r="9" spans="1:12" ht="15.75" thickBot="1" x14ac:dyDescent="0.3">
      <c r="A9" s="1"/>
      <c r="B9" s="29" t="s">
        <v>4</v>
      </c>
      <c r="C9" s="29" t="s">
        <v>200</v>
      </c>
      <c r="D9" s="29" t="s">
        <v>8</v>
      </c>
      <c r="E9" s="30" t="s">
        <v>49</v>
      </c>
      <c r="F9" s="29" t="s">
        <v>90</v>
      </c>
      <c r="G9" s="30" t="s">
        <v>116</v>
      </c>
      <c r="H9" s="29" t="s">
        <v>202</v>
      </c>
      <c r="I9" s="29" t="s">
        <v>137</v>
      </c>
      <c r="J9" s="30" t="s">
        <v>159</v>
      </c>
      <c r="K9" s="29" t="s">
        <v>187</v>
      </c>
      <c r="L9" s="31" t="s">
        <v>188</v>
      </c>
    </row>
    <row r="10" spans="1:12" ht="15.75" thickBot="1" x14ac:dyDescent="0.3">
      <c r="A10" s="1"/>
      <c r="B10" s="53">
        <f>ROW(B10) - ROW($B$9)</f>
        <v>1</v>
      </c>
      <c r="C10" s="37" t="s">
        <v>192</v>
      </c>
      <c r="D10" s="37" t="s">
        <v>9</v>
      </c>
      <c r="E10" s="38" t="s">
        <v>50</v>
      </c>
      <c r="F10" s="37" t="s">
        <v>91</v>
      </c>
      <c r="G10" s="38" t="s">
        <v>117</v>
      </c>
      <c r="H10" s="37"/>
      <c r="I10" s="37" t="s">
        <v>138</v>
      </c>
      <c r="J10" s="38" t="s">
        <v>160</v>
      </c>
      <c r="K10" s="37">
        <v>1</v>
      </c>
      <c r="L10" s="41"/>
    </row>
    <row r="11" spans="1:12" ht="15.75" thickBot="1" x14ac:dyDescent="0.3">
      <c r="A11" s="1"/>
      <c r="B11" s="53">
        <f t="shared" ref="B11:B49" si="0">ROW(B11) - ROW($B$9)</f>
        <v>2</v>
      </c>
      <c r="C11" s="39" t="s">
        <v>192</v>
      </c>
      <c r="D11" s="39" t="s">
        <v>10</v>
      </c>
      <c r="E11" s="40" t="s">
        <v>51</v>
      </c>
      <c r="F11" s="39" t="s">
        <v>92</v>
      </c>
      <c r="G11" s="40" t="s">
        <v>118</v>
      </c>
      <c r="H11" s="39"/>
      <c r="I11" s="39" t="s">
        <v>139</v>
      </c>
      <c r="J11" s="40" t="s">
        <v>161</v>
      </c>
      <c r="K11" s="39">
        <v>1</v>
      </c>
      <c r="L11" s="42"/>
    </row>
    <row r="12" spans="1:12" ht="36.75" thickBot="1" x14ac:dyDescent="0.3">
      <c r="A12" s="1"/>
      <c r="B12" s="53">
        <f>ROW(B12) - ROW($B$9)</f>
        <v>3</v>
      </c>
      <c r="C12" s="37" t="s">
        <v>192</v>
      </c>
      <c r="D12" s="37" t="s">
        <v>11</v>
      </c>
      <c r="E12" s="38" t="s">
        <v>52</v>
      </c>
      <c r="F12" s="37" t="s">
        <v>201</v>
      </c>
      <c r="G12" s="37" t="s">
        <v>93</v>
      </c>
      <c r="H12" s="37"/>
      <c r="I12" s="37" t="s">
        <v>140</v>
      </c>
      <c r="J12" s="38" t="s">
        <v>162</v>
      </c>
      <c r="K12" s="37">
        <v>1</v>
      </c>
      <c r="L12" s="41"/>
    </row>
    <row r="13" spans="1:12" ht="24.75" thickBot="1" x14ac:dyDescent="0.3">
      <c r="A13" s="1"/>
      <c r="B13" s="53">
        <f t="shared" si="0"/>
        <v>4</v>
      </c>
      <c r="C13" s="39" t="s">
        <v>192</v>
      </c>
      <c r="D13" s="39" t="s">
        <v>12</v>
      </c>
      <c r="E13" s="40" t="s">
        <v>53</v>
      </c>
      <c r="F13" s="39" t="s">
        <v>201</v>
      </c>
      <c r="G13" s="39" t="s">
        <v>94</v>
      </c>
      <c r="H13" s="39"/>
      <c r="I13" s="39" t="s">
        <v>140</v>
      </c>
      <c r="J13" s="40" t="s">
        <v>162</v>
      </c>
      <c r="K13" s="39">
        <v>3</v>
      </c>
      <c r="L13" s="42"/>
    </row>
    <row r="14" spans="1:12" ht="15.75" thickBot="1" x14ac:dyDescent="0.3">
      <c r="A14" s="1"/>
      <c r="B14" s="53">
        <f>ROW(B14) - ROW($B$9)</f>
        <v>5</v>
      </c>
      <c r="C14" s="37" t="s">
        <v>192</v>
      </c>
      <c r="D14" s="37" t="s">
        <v>13</v>
      </c>
      <c r="E14" s="38" t="s">
        <v>54</v>
      </c>
      <c r="F14" s="37" t="s">
        <v>92</v>
      </c>
      <c r="G14" s="38" t="s">
        <v>119</v>
      </c>
      <c r="H14" s="37"/>
      <c r="I14" s="37" t="s">
        <v>138</v>
      </c>
      <c r="J14" s="38" t="s">
        <v>163</v>
      </c>
      <c r="K14" s="37">
        <v>1</v>
      </c>
      <c r="L14" s="41"/>
    </row>
    <row r="15" spans="1:12" ht="15.75" thickBot="1" x14ac:dyDescent="0.3">
      <c r="A15" s="1"/>
      <c r="B15" s="53">
        <f t="shared" si="0"/>
        <v>6</v>
      </c>
      <c r="C15" s="39" t="s">
        <v>192</v>
      </c>
      <c r="D15" s="39" t="s">
        <v>14</v>
      </c>
      <c r="E15" s="40" t="s">
        <v>55</v>
      </c>
      <c r="F15" s="39" t="s">
        <v>91</v>
      </c>
      <c r="G15" s="40" t="s">
        <v>120</v>
      </c>
      <c r="H15" s="39"/>
      <c r="I15" s="39" t="s">
        <v>141</v>
      </c>
      <c r="J15" s="40" t="s">
        <v>164</v>
      </c>
      <c r="K15" s="39">
        <v>8</v>
      </c>
      <c r="L15" s="42"/>
    </row>
    <row r="16" spans="1:12" ht="15.75" thickBot="1" x14ac:dyDescent="0.3">
      <c r="A16" s="1"/>
      <c r="B16" s="53">
        <f>ROW(B16) - ROW($B$9)</f>
        <v>7</v>
      </c>
      <c r="C16" s="37" t="s">
        <v>192</v>
      </c>
      <c r="D16" s="37" t="s">
        <v>15</v>
      </c>
      <c r="E16" s="38" t="s">
        <v>56</v>
      </c>
      <c r="F16" s="37" t="s">
        <v>91</v>
      </c>
      <c r="G16" s="38" t="s">
        <v>121</v>
      </c>
      <c r="H16" s="37"/>
      <c r="I16" s="37" t="s">
        <v>142</v>
      </c>
      <c r="J16" s="38" t="s">
        <v>165</v>
      </c>
      <c r="K16" s="37">
        <v>3</v>
      </c>
      <c r="L16" s="41"/>
    </row>
    <row r="17" spans="1:12" ht="24.75" thickBot="1" x14ac:dyDescent="0.3">
      <c r="A17" s="1"/>
      <c r="B17" s="53">
        <f t="shared" si="0"/>
        <v>8</v>
      </c>
      <c r="C17" s="39" t="s">
        <v>192</v>
      </c>
      <c r="D17" s="39" t="s">
        <v>16</v>
      </c>
      <c r="E17" s="40" t="s">
        <v>57</v>
      </c>
      <c r="F17" s="39" t="s">
        <v>95</v>
      </c>
      <c r="G17" s="40" t="s">
        <v>122</v>
      </c>
      <c r="H17" s="39"/>
      <c r="I17" s="39" t="s">
        <v>139</v>
      </c>
      <c r="J17" s="40" t="s">
        <v>166</v>
      </c>
      <c r="K17" s="39">
        <v>1</v>
      </c>
      <c r="L17" s="42"/>
    </row>
    <row r="18" spans="1:12" ht="15.75" thickBot="1" x14ac:dyDescent="0.3">
      <c r="A18" s="1"/>
      <c r="B18" s="53">
        <f>ROW(B18) - ROW($B$9)</f>
        <v>9</v>
      </c>
      <c r="C18" s="37" t="s">
        <v>192</v>
      </c>
      <c r="D18" s="37" t="s">
        <v>17</v>
      </c>
      <c r="E18" s="38" t="s">
        <v>58</v>
      </c>
      <c r="F18" s="37" t="s">
        <v>91</v>
      </c>
      <c r="G18" s="38" t="s">
        <v>123</v>
      </c>
      <c r="H18" s="37"/>
      <c r="I18" s="37" t="s">
        <v>139</v>
      </c>
      <c r="J18" s="38" t="s">
        <v>167</v>
      </c>
      <c r="K18" s="37">
        <v>6</v>
      </c>
      <c r="L18" s="41"/>
    </row>
    <row r="19" spans="1:12" ht="15.75" thickBot="1" x14ac:dyDescent="0.3">
      <c r="A19" s="1"/>
      <c r="B19" s="53">
        <f t="shared" si="0"/>
        <v>10</v>
      </c>
      <c r="C19" s="39" t="s">
        <v>192</v>
      </c>
      <c r="D19" s="39" t="s">
        <v>18</v>
      </c>
      <c r="E19" s="40" t="s">
        <v>59</v>
      </c>
      <c r="F19" s="39" t="s">
        <v>91</v>
      </c>
      <c r="G19" s="40" t="s">
        <v>124</v>
      </c>
      <c r="H19" s="39"/>
      <c r="I19" s="39" t="s">
        <v>142</v>
      </c>
      <c r="J19" s="40" t="s">
        <v>168</v>
      </c>
      <c r="K19" s="39">
        <v>1</v>
      </c>
      <c r="L19" s="42"/>
    </row>
    <row r="20" spans="1:12" ht="15.75" thickBot="1" x14ac:dyDescent="0.3">
      <c r="A20" s="1"/>
      <c r="B20" s="53">
        <f>ROW(B20) - ROW($B$9)</f>
        <v>11</v>
      </c>
      <c r="C20" s="37" t="s">
        <v>192</v>
      </c>
      <c r="D20" s="37" t="s">
        <v>19</v>
      </c>
      <c r="E20" s="38" t="s">
        <v>60</v>
      </c>
      <c r="F20" s="37" t="s">
        <v>92</v>
      </c>
      <c r="G20" s="38" t="s">
        <v>125</v>
      </c>
      <c r="H20" s="37"/>
      <c r="I20" s="37" t="s">
        <v>142</v>
      </c>
      <c r="J20" s="38" t="s">
        <v>169</v>
      </c>
      <c r="K20" s="37">
        <v>2</v>
      </c>
      <c r="L20" s="41"/>
    </row>
    <row r="21" spans="1:12" ht="24.75" thickBot="1" x14ac:dyDescent="0.3">
      <c r="A21" s="1"/>
      <c r="B21" s="53">
        <f t="shared" si="0"/>
        <v>12</v>
      </c>
      <c r="C21" s="39" t="s">
        <v>193</v>
      </c>
      <c r="D21" s="39" t="s">
        <v>20</v>
      </c>
      <c r="E21" s="40" t="s">
        <v>61</v>
      </c>
      <c r="F21" s="39" t="s">
        <v>207</v>
      </c>
      <c r="G21" s="40" t="s">
        <v>126</v>
      </c>
      <c r="H21" s="39"/>
      <c r="I21" s="39" t="s">
        <v>143</v>
      </c>
      <c r="J21" s="40" t="s">
        <v>203</v>
      </c>
      <c r="K21" s="39">
        <v>1</v>
      </c>
      <c r="L21" s="42"/>
    </row>
    <row r="22" spans="1:12" ht="24.75" thickBot="1" x14ac:dyDescent="0.3">
      <c r="A22" s="1"/>
      <c r="B22" s="53">
        <f>ROW(B22) - ROW($B$9)</f>
        <v>13</v>
      </c>
      <c r="C22" s="37" t="s">
        <v>193</v>
      </c>
      <c r="D22" s="37" t="s">
        <v>21</v>
      </c>
      <c r="E22" s="38" t="s">
        <v>62</v>
      </c>
      <c r="F22" s="37" t="s">
        <v>208</v>
      </c>
      <c r="G22" s="37" t="s">
        <v>96</v>
      </c>
      <c r="H22" s="37"/>
      <c r="I22" s="37" t="s">
        <v>144</v>
      </c>
      <c r="J22" s="38" t="s">
        <v>203</v>
      </c>
      <c r="K22" s="37">
        <v>1</v>
      </c>
      <c r="L22" s="41"/>
    </row>
    <row r="23" spans="1:12" ht="24.75" thickBot="1" x14ac:dyDescent="0.3">
      <c r="A23" s="1"/>
      <c r="B23" s="53">
        <f t="shared" si="0"/>
        <v>14</v>
      </c>
      <c r="C23" s="39" t="s">
        <v>193</v>
      </c>
      <c r="D23" s="39" t="s">
        <v>22</v>
      </c>
      <c r="E23" s="40" t="s">
        <v>63</v>
      </c>
      <c r="F23" s="39" t="s">
        <v>97</v>
      </c>
      <c r="G23" s="40" t="s">
        <v>170</v>
      </c>
      <c r="H23" s="39"/>
      <c r="I23" s="39" t="s">
        <v>145</v>
      </c>
      <c r="J23" s="40" t="s">
        <v>203</v>
      </c>
      <c r="K23" s="39">
        <v>1</v>
      </c>
      <c r="L23" s="42"/>
    </row>
    <row r="24" spans="1:12" ht="24.75" thickBot="1" x14ac:dyDescent="0.3">
      <c r="A24" s="1"/>
      <c r="B24" s="53">
        <f>ROW(B24) - ROW($B$9)</f>
        <v>15</v>
      </c>
      <c r="C24" s="37" t="s">
        <v>193</v>
      </c>
      <c r="D24" s="37" t="s">
        <v>23</v>
      </c>
      <c r="E24" s="38" t="s">
        <v>64</v>
      </c>
      <c r="F24" s="37" t="s">
        <v>98</v>
      </c>
      <c r="G24" s="38" t="s">
        <v>171</v>
      </c>
      <c r="H24" s="37"/>
      <c r="I24" s="37" t="s">
        <v>146</v>
      </c>
      <c r="J24" s="38" t="s">
        <v>203</v>
      </c>
      <c r="K24" s="37">
        <v>1</v>
      </c>
      <c r="L24" s="41"/>
    </row>
    <row r="25" spans="1:12" ht="24.75" thickBot="1" x14ac:dyDescent="0.3">
      <c r="A25" s="1"/>
      <c r="B25" s="53">
        <f t="shared" si="0"/>
        <v>16</v>
      </c>
      <c r="C25" s="39" t="s">
        <v>194</v>
      </c>
      <c r="D25" s="39" t="s">
        <v>24</v>
      </c>
      <c r="E25" s="40" t="s">
        <v>65</v>
      </c>
      <c r="F25" s="39" t="s">
        <v>201</v>
      </c>
      <c r="G25" s="40" t="s">
        <v>99</v>
      </c>
      <c r="H25" s="39"/>
      <c r="I25" s="39" t="s">
        <v>147</v>
      </c>
      <c r="J25" s="40" t="s">
        <v>203</v>
      </c>
      <c r="K25" s="39">
        <v>1</v>
      </c>
      <c r="L25" s="42"/>
    </row>
    <row r="26" spans="1:12" ht="36.75" thickBot="1" x14ac:dyDescent="0.3">
      <c r="A26" s="1"/>
      <c r="B26" s="53">
        <f>ROW(B26) - ROW($B$9)</f>
        <v>17</v>
      </c>
      <c r="C26" s="37" t="s">
        <v>195</v>
      </c>
      <c r="D26" s="37" t="s">
        <v>25</v>
      </c>
      <c r="E26" s="38" t="s">
        <v>66</v>
      </c>
      <c r="F26" s="37" t="s">
        <v>201</v>
      </c>
      <c r="G26" s="38" t="s">
        <v>100</v>
      </c>
      <c r="H26" s="37"/>
      <c r="I26" s="37" t="s">
        <v>148</v>
      </c>
      <c r="J26" s="38" t="s">
        <v>203</v>
      </c>
      <c r="K26" s="37">
        <v>2</v>
      </c>
      <c r="L26" s="41"/>
    </row>
    <row r="27" spans="1:12" ht="15.75" thickBot="1" x14ac:dyDescent="0.3">
      <c r="A27" s="1"/>
      <c r="B27" s="53">
        <f t="shared" si="0"/>
        <v>18</v>
      </c>
      <c r="C27" s="39" t="s">
        <v>194</v>
      </c>
      <c r="D27" s="39" t="s">
        <v>26</v>
      </c>
      <c r="E27" s="40" t="s">
        <v>67</v>
      </c>
      <c r="F27" s="39" t="s">
        <v>201</v>
      </c>
      <c r="G27" s="40" t="s">
        <v>101</v>
      </c>
      <c r="H27" s="39"/>
      <c r="I27" s="39" t="s">
        <v>147</v>
      </c>
      <c r="J27" s="40" t="s">
        <v>203</v>
      </c>
      <c r="K27" s="39">
        <v>1</v>
      </c>
      <c r="L27" s="42"/>
    </row>
    <row r="28" spans="1:12" ht="15.75" thickBot="1" x14ac:dyDescent="0.3">
      <c r="A28" s="1"/>
      <c r="B28" s="53">
        <f>ROW(B28) - ROW($B$9)</f>
        <v>19</v>
      </c>
      <c r="C28" s="37" t="s">
        <v>196</v>
      </c>
      <c r="D28" s="37" t="s">
        <v>27</v>
      </c>
      <c r="E28" s="38" t="s">
        <v>68</v>
      </c>
      <c r="F28" s="37" t="s">
        <v>201</v>
      </c>
      <c r="G28" s="37" t="s">
        <v>102</v>
      </c>
      <c r="H28" s="37"/>
      <c r="I28" s="37"/>
      <c r="J28" s="38" t="s">
        <v>172</v>
      </c>
      <c r="K28" s="37">
        <v>1</v>
      </c>
      <c r="L28" s="41"/>
    </row>
    <row r="29" spans="1:12" ht="15.75" thickBot="1" x14ac:dyDescent="0.3">
      <c r="A29" s="1"/>
      <c r="B29" s="53">
        <f t="shared" si="0"/>
        <v>20</v>
      </c>
      <c r="C29" s="39" t="s">
        <v>196</v>
      </c>
      <c r="D29" s="39" t="s">
        <v>28</v>
      </c>
      <c r="E29" s="40" t="s">
        <v>69</v>
      </c>
      <c r="F29" s="39" t="s">
        <v>201</v>
      </c>
      <c r="G29" s="40" t="s">
        <v>103</v>
      </c>
      <c r="H29" s="39"/>
      <c r="I29" s="39" t="s">
        <v>149</v>
      </c>
      <c r="J29" s="40" t="s">
        <v>173</v>
      </c>
      <c r="K29" s="39">
        <v>1</v>
      </c>
      <c r="L29" s="42"/>
    </row>
    <row r="30" spans="1:12" ht="24.75" thickBot="1" x14ac:dyDescent="0.3">
      <c r="A30" s="1"/>
      <c r="B30" s="53">
        <f>ROW(B30) - ROW($B$9)</f>
        <v>21</v>
      </c>
      <c r="C30" s="37" t="s">
        <v>194</v>
      </c>
      <c r="D30" s="37" t="s">
        <v>29</v>
      </c>
      <c r="E30" s="38" t="s">
        <v>70</v>
      </c>
      <c r="F30" s="37" t="s">
        <v>201</v>
      </c>
      <c r="G30" s="38" t="s">
        <v>104</v>
      </c>
      <c r="H30" s="37"/>
      <c r="I30" s="37" t="s">
        <v>150</v>
      </c>
      <c r="J30" s="38" t="s">
        <v>203</v>
      </c>
      <c r="K30" s="37">
        <v>1</v>
      </c>
      <c r="L30" s="41"/>
    </row>
    <row r="31" spans="1:12" ht="15.75" thickBot="1" x14ac:dyDescent="0.3">
      <c r="A31" s="1"/>
      <c r="B31" s="53">
        <f t="shared" si="0"/>
        <v>22</v>
      </c>
      <c r="C31" s="39" t="s">
        <v>194</v>
      </c>
      <c r="D31" s="39" t="s">
        <v>30</v>
      </c>
      <c r="E31" s="40" t="s">
        <v>71</v>
      </c>
      <c r="F31" s="39" t="s">
        <v>201</v>
      </c>
      <c r="G31" s="40">
        <v>8266292</v>
      </c>
      <c r="H31" s="39"/>
      <c r="I31" s="39" t="s">
        <v>151</v>
      </c>
      <c r="J31" s="40" t="s">
        <v>203</v>
      </c>
      <c r="K31" s="39">
        <v>2</v>
      </c>
      <c r="L31" s="42"/>
    </row>
    <row r="32" spans="1:12" ht="15.75" thickBot="1" x14ac:dyDescent="0.3">
      <c r="A32" s="1"/>
      <c r="B32" s="53">
        <f>ROW(B32) - ROW($B$9)</f>
        <v>23</v>
      </c>
      <c r="C32" s="37" t="s">
        <v>174</v>
      </c>
      <c r="D32" s="37" t="s">
        <v>31</v>
      </c>
      <c r="E32" s="38" t="s">
        <v>72</v>
      </c>
      <c r="F32" s="37" t="s">
        <v>105</v>
      </c>
      <c r="G32" s="38" t="s">
        <v>203</v>
      </c>
      <c r="H32" s="37"/>
      <c r="I32" s="37" t="s">
        <v>203</v>
      </c>
      <c r="J32" s="38" t="s">
        <v>203</v>
      </c>
      <c r="K32" s="37">
        <v>5</v>
      </c>
      <c r="L32" s="41"/>
    </row>
    <row r="33" spans="1:12" ht="15.75" thickBot="1" x14ac:dyDescent="0.3">
      <c r="A33" s="1"/>
      <c r="B33" s="53">
        <f t="shared" si="0"/>
        <v>24</v>
      </c>
      <c r="C33" s="39" t="s">
        <v>197</v>
      </c>
      <c r="D33" s="39" t="s">
        <v>32</v>
      </c>
      <c r="E33" s="40" t="s">
        <v>73</v>
      </c>
      <c r="F33" s="39" t="s">
        <v>206</v>
      </c>
      <c r="G33" s="40" t="s">
        <v>106</v>
      </c>
      <c r="H33" s="39"/>
      <c r="I33" s="39" t="s">
        <v>152</v>
      </c>
      <c r="J33" s="40" t="s">
        <v>203</v>
      </c>
      <c r="K33" s="39">
        <v>1</v>
      </c>
      <c r="L33" s="42"/>
    </row>
    <row r="34" spans="1:12" ht="48.75" thickBot="1" x14ac:dyDescent="0.3">
      <c r="A34" s="1"/>
      <c r="B34" s="53">
        <f>ROW(B34) - ROW($B$9)</f>
        <v>25</v>
      </c>
      <c r="C34" s="37" t="s">
        <v>197</v>
      </c>
      <c r="D34" s="37" t="s">
        <v>33</v>
      </c>
      <c r="E34" s="38" t="s">
        <v>74</v>
      </c>
      <c r="F34" s="37" t="s">
        <v>107</v>
      </c>
      <c r="G34" s="38" t="s">
        <v>175</v>
      </c>
      <c r="H34" s="37"/>
      <c r="I34" s="37" t="s">
        <v>153</v>
      </c>
      <c r="J34" s="38" t="s">
        <v>203</v>
      </c>
      <c r="K34" s="37">
        <v>1</v>
      </c>
      <c r="L34" s="41"/>
    </row>
    <row r="35" spans="1:12" ht="15.75" thickBot="1" x14ac:dyDescent="0.3">
      <c r="A35" s="1"/>
      <c r="B35" s="53">
        <f t="shared" si="0"/>
        <v>26</v>
      </c>
      <c r="C35" s="39" t="s">
        <v>198</v>
      </c>
      <c r="D35" s="39" t="s">
        <v>34</v>
      </c>
      <c r="E35" s="40" t="s">
        <v>75</v>
      </c>
      <c r="F35" s="39" t="s">
        <v>108</v>
      </c>
      <c r="G35" s="40" t="s">
        <v>127</v>
      </c>
      <c r="H35" s="39"/>
      <c r="I35" s="39" t="s">
        <v>139</v>
      </c>
      <c r="J35" s="40" t="s">
        <v>176</v>
      </c>
      <c r="K35" s="39">
        <v>3</v>
      </c>
      <c r="L35" s="42"/>
    </row>
    <row r="36" spans="1:12" ht="15.75" thickBot="1" x14ac:dyDescent="0.3">
      <c r="A36" s="1"/>
      <c r="B36" s="53">
        <f>ROW(B36) - ROW($B$9)</f>
        <v>27</v>
      </c>
      <c r="C36" s="37" t="s">
        <v>198</v>
      </c>
      <c r="D36" s="37" t="s">
        <v>35</v>
      </c>
      <c r="E36" s="38" t="s">
        <v>76</v>
      </c>
      <c r="F36" s="37" t="s">
        <v>108</v>
      </c>
      <c r="G36" s="38" t="s">
        <v>128</v>
      </c>
      <c r="H36" s="37"/>
      <c r="I36" s="37" t="s">
        <v>151</v>
      </c>
      <c r="J36" s="38" t="s">
        <v>177</v>
      </c>
      <c r="K36" s="37">
        <v>1</v>
      </c>
      <c r="L36" s="41"/>
    </row>
    <row r="37" spans="1:12" ht="15.75" thickBot="1" x14ac:dyDescent="0.3">
      <c r="A37" s="1"/>
      <c r="B37" s="53">
        <f t="shared" si="0"/>
        <v>28</v>
      </c>
      <c r="C37" s="39" t="s">
        <v>198</v>
      </c>
      <c r="D37" s="39" t="s">
        <v>36</v>
      </c>
      <c r="E37" s="40" t="s">
        <v>77</v>
      </c>
      <c r="F37" s="39" t="s">
        <v>109</v>
      </c>
      <c r="G37" s="40" t="s">
        <v>129</v>
      </c>
      <c r="H37" s="39"/>
      <c r="I37" s="39" t="s">
        <v>154</v>
      </c>
      <c r="J37" s="40" t="s">
        <v>178</v>
      </c>
      <c r="K37" s="39">
        <v>1</v>
      </c>
      <c r="L37" s="42"/>
    </row>
    <row r="38" spans="1:12" ht="24.75" thickBot="1" x14ac:dyDescent="0.3">
      <c r="A38" s="1"/>
      <c r="B38" s="53">
        <f>ROW(B38) - ROW($B$9)</f>
        <v>29</v>
      </c>
      <c r="C38" s="37" t="s">
        <v>198</v>
      </c>
      <c r="D38" s="37" t="s">
        <v>37</v>
      </c>
      <c r="E38" s="38" t="s">
        <v>78</v>
      </c>
      <c r="F38" s="37" t="s">
        <v>110</v>
      </c>
      <c r="G38" s="38" t="s">
        <v>204</v>
      </c>
      <c r="H38" s="37"/>
      <c r="I38" s="37" t="s">
        <v>155</v>
      </c>
      <c r="J38" s="38" t="s">
        <v>179</v>
      </c>
      <c r="K38" s="37">
        <v>1</v>
      </c>
      <c r="L38" s="41"/>
    </row>
    <row r="39" spans="1:12" ht="15.75" thickBot="1" x14ac:dyDescent="0.3">
      <c r="A39" s="1"/>
      <c r="B39" s="53">
        <f t="shared" si="0"/>
        <v>30</v>
      </c>
      <c r="C39" s="39" t="s">
        <v>198</v>
      </c>
      <c r="D39" s="39" t="s">
        <v>38</v>
      </c>
      <c r="E39" s="40" t="s">
        <v>79</v>
      </c>
      <c r="F39" s="39" t="s">
        <v>108</v>
      </c>
      <c r="G39" s="40" t="s">
        <v>130</v>
      </c>
      <c r="H39" s="39"/>
      <c r="I39" s="39" t="s">
        <v>139</v>
      </c>
      <c r="J39" s="40" t="s">
        <v>180</v>
      </c>
      <c r="K39" s="39">
        <v>1</v>
      </c>
      <c r="L39" s="42"/>
    </row>
    <row r="40" spans="1:12" ht="15.75" thickBot="1" x14ac:dyDescent="0.3">
      <c r="A40" s="1"/>
      <c r="B40" s="53">
        <f>ROW(B40) - ROW($B$9)</f>
        <v>31</v>
      </c>
      <c r="C40" s="37" t="s">
        <v>198</v>
      </c>
      <c r="D40" s="37" t="s">
        <v>39</v>
      </c>
      <c r="E40" s="38" t="s">
        <v>80</v>
      </c>
      <c r="F40" s="37" t="s">
        <v>108</v>
      </c>
      <c r="G40" s="38" t="s">
        <v>131</v>
      </c>
      <c r="H40" s="37"/>
      <c r="I40" s="37" t="s">
        <v>139</v>
      </c>
      <c r="J40" s="38" t="s">
        <v>181</v>
      </c>
      <c r="K40" s="37">
        <v>8</v>
      </c>
      <c r="L40" s="41"/>
    </row>
    <row r="41" spans="1:12" ht="15.75" thickBot="1" x14ac:dyDescent="0.3">
      <c r="A41" s="1"/>
      <c r="B41" s="53">
        <f t="shared" si="0"/>
        <v>32</v>
      </c>
      <c r="C41" s="39" t="s">
        <v>198</v>
      </c>
      <c r="D41" s="39" t="s">
        <v>40</v>
      </c>
      <c r="E41" s="40" t="s">
        <v>81</v>
      </c>
      <c r="F41" s="39" t="s">
        <v>108</v>
      </c>
      <c r="G41" s="40" t="s">
        <v>132</v>
      </c>
      <c r="H41" s="39"/>
      <c r="I41" s="39" t="s">
        <v>139</v>
      </c>
      <c r="J41" s="40" t="s">
        <v>182</v>
      </c>
      <c r="K41" s="39">
        <v>2</v>
      </c>
      <c r="L41" s="42"/>
    </row>
    <row r="42" spans="1:12" ht="15.75" thickBot="1" x14ac:dyDescent="0.3">
      <c r="A42" s="1"/>
      <c r="B42" s="53">
        <f>ROW(B42) - ROW($B$9)</f>
        <v>33</v>
      </c>
      <c r="C42" s="37" t="s">
        <v>198</v>
      </c>
      <c r="D42" s="37" t="s">
        <v>41</v>
      </c>
      <c r="E42" s="38" t="s">
        <v>82</v>
      </c>
      <c r="F42" s="37" t="s">
        <v>108</v>
      </c>
      <c r="G42" s="38" t="s">
        <v>133</v>
      </c>
      <c r="H42" s="37"/>
      <c r="I42" s="37" t="s">
        <v>139</v>
      </c>
      <c r="J42" s="38" t="s">
        <v>183</v>
      </c>
      <c r="K42" s="37">
        <v>1</v>
      </c>
      <c r="L42" s="41"/>
    </row>
    <row r="43" spans="1:12" ht="15.75" thickBot="1" x14ac:dyDescent="0.3">
      <c r="A43" s="1"/>
      <c r="B43" s="53">
        <f t="shared" si="0"/>
        <v>34</v>
      </c>
      <c r="C43" s="39" t="s">
        <v>198</v>
      </c>
      <c r="D43" s="39" t="s">
        <v>42</v>
      </c>
      <c r="E43" s="40" t="s">
        <v>83</v>
      </c>
      <c r="F43" s="39" t="s">
        <v>108</v>
      </c>
      <c r="G43" s="40" t="s">
        <v>134</v>
      </c>
      <c r="H43" s="39"/>
      <c r="I43" s="39" t="s">
        <v>139</v>
      </c>
      <c r="J43" s="40" t="s">
        <v>184</v>
      </c>
      <c r="K43" s="39">
        <v>1</v>
      </c>
      <c r="L43" s="42"/>
    </row>
    <row r="44" spans="1:12" ht="15.75" thickBot="1" x14ac:dyDescent="0.3">
      <c r="A44" s="1"/>
      <c r="B44" s="53">
        <f>ROW(B44) - ROW($B$9)</f>
        <v>35</v>
      </c>
      <c r="C44" s="37" t="s">
        <v>198</v>
      </c>
      <c r="D44" s="37" t="s">
        <v>43</v>
      </c>
      <c r="E44" s="38" t="s">
        <v>84</v>
      </c>
      <c r="F44" s="37" t="s">
        <v>108</v>
      </c>
      <c r="G44" s="38" t="s">
        <v>135</v>
      </c>
      <c r="H44" s="37"/>
      <c r="I44" s="37" t="s">
        <v>139</v>
      </c>
      <c r="J44" s="38" t="s">
        <v>185</v>
      </c>
      <c r="K44" s="37">
        <v>1</v>
      </c>
      <c r="L44" s="41"/>
    </row>
    <row r="45" spans="1:12" ht="15.75" thickBot="1" x14ac:dyDescent="0.3">
      <c r="A45" s="1"/>
      <c r="B45" s="53">
        <f t="shared" si="0"/>
        <v>36</v>
      </c>
      <c r="C45" s="39" t="s">
        <v>111</v>
      </c>
      <c r="D45" s="39" t="s">
        <v>44</v>
      </c>
      <c r="E45" s="40" t="s">
        <v>85</v>
      </c>
      <c r="F45" s="39" t="s">
        <v>111</v>
      </c>
      <c r="G45" s="40" t="s">
        <v>205</v>
      </c>
      <c r="H45" s="39"/>
      <c r="I45" s="39"/>
      <c r="J45" s="40" t="s">
        <v>186</v>
      </c>
      <c r="K45" s="39">
        <v>2</v>
      </c>
      <c r="L45" s="42"/>
    </row>
    <row r="46" spans="1:12" ht="15.75" thickBot="1" x14ac:dyDescent="0.3">
      <c r="A46" s="1"/>
      <c r="B46" s="53">
        <f>ROW(B46) - ROW($B$9)</f>
        <v>37</v>
      </c>
      <c r="C46" s="37" t="s">
        <v>112</v>
      </c>
      <c r="D46" s="37" t="s">
        <v>45</v>
      </c>
      <c r="E46" s="38" t="s">
        <v>86</v>
      </c>
      <c r="F46" s="37" t="s">
        <v>112</v>
      </c>
      <c r="G46" s="38" t="s">
        <v>203</v>
      </c>
      <c r="H46" s="37"/>
      <c r="I46" s="37"/>
      <c r="J46" s="38" t="s">
        <v>112</v>
      </c>
      <c r="K46" s="37">
        <v>1</v>
      </c>
      <c r="L46" s="41"/>
    </row>
    <row r="47" spans="1:12" ht="36.75" thickBot="1" x14ac:dyDescent="0.3">
      <c r="A47" s="1"/>
      <c r="B47" s="53">
        <f t="shared" si="0"/>
        <v>38</v>
      </c>
      <c r="C47" s="39" t="s">
        <v>199</v>
      </c>
      <c r="D47" s="39" t="s">
        <v>46</v>
      </c>
      <c r="E47" s="40" t="s">
        <v>87</v>
      </c>
      <c r="F47" s="39" t="s">
        <v>113</v>
      </c>
      <c r="G47" s="40" t="s">
        <v>136</v>
      </c>
      <c r="H47" s="39"/>
      <c r="I47" s="39" t="s">
        <v>156</v>
      </c>
      <c r="J47" s="40" t="s">
        <v>203</v>
      </c>
      <c r="K47" s="39">
        <v>1</v>
      </c>
      <c r="L47" s="42"/>
    </row>
    <row r="48" spans="1:12" ht="15.75" thickBot="1" x14ac:dyDescent="0.3">
      <c r="A48" s="1"/>
      <c r="B48" s="53">
        <f>ROW(B48) - ROW($B$9)</f>
        <v>39</v>
      </c>
      <c r="C48" s="37" t="s">
        <v>199</v>
      </c>
      <c r="D48" s="37" t="s">
        <v>47</v>
      </c>
      <c r="E48" s="38" t="s">
        <v>88</v>
      </c>
      <c r="F48" s="37" t="s">
        <v>209</v>
      </c>
      <c r="G48" s="38" t="s">
        <v>114</v>
      </c>
      <c r="H48" s="37"/>
      <c r="I48" s="37" t="s">
        <v>157</v>
      </c>
      <c r="J48" s="38" t="s">
        <v>203</v>
      </c>
      <c r="K48" s="37">
        <v>1</v>
      </c>
      <c r="L48" s="41"/>
    </row>
    <row r="49" spans="1:12" ht="24.75" thickBot="1" x14ac:dyDescent="0.3">
      <c r="A49" s="1"/>
      <c r="B49" s="53">
        <f t="shared" si="0"/>
        <v>40</v>
      </c>
      <c r="C49" s="39" t="s">
        <v>199</v>
      </c>
      <c r="D49" s="39" t="s">
        <v>48</v>
      </c>
      <c r="E49" s="40" t="s">
        <v>89</v>
      </c>
      <c r="F49" s="39" t="s">
        <v>210</v>
      </c>
      <c r="G49" s="40" t="s">
        <v>115</v>
      </c>
      <c r="H49" s="39"/>
      <c r="I49" s="39" t="s">
        <v>158</v>
      </c>
      <c r="J49" s="40" t="s">
        <v>203</v>
      </c>
      <c r="K49" s="39">
        <v>1</v>
      </c>
      <c r="L49" s="42"/>
    </row>
    <row r="50" spans="1:12" x14ac:dyDescent="0.25">
      <c r="A50" s="1"/>
      <c r="B50" s="32"/>
      <c r="C50" s="51"/>
      <c r="D50" s="33" t="s">
        <v>5</v>
      </c>
      <c r="E50" s="34"/>
      <c r="F50" s="35"/>
      <c r="G50" s="36"/>
      <c r="H50" s="36"/>
      <c r="I50" s="35"/>
      <c r="J50" s="36"/>
      <c r="K50" s="36"/>
      <c r="L50" s="44"/>
    </row>
    <row r="51" spans="1:12" ht="15.75" thickBot="1" x14ac:dyDescent="0.3">
      <c r="A51" s="1"/>
      <c r="B51" s="24"/>
      <c r="C51" s="52"/>
      <c r="D51" s="8" t="s">
        <v>6</v>
      </c>
      <c r="E51" s="9"/>
      <c r="F51" s="9"/>
      <c r="G51" s="9"/>
      <c r="H51" s="9"/>
      <c r="I51" s="9"/>
      <c r="J51" s="9"/>
      <c r="K51" s="9"/>
      <c r="L51" s="45"/>
    </row>
  </sheetData>
  <mergeCells count="2">
    <mergeCell ref="J1:L1"/>
    <mergeCell ref="L3:L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2022-08-04T16:55:48Z</dcterms:modified>
</cp:coreProperties>
</file>