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Github\ChrisitanRaun-AnnanasMotor\Deliverables\Interface_Board\BOM\"/>
    </mc:Choice>
  </mc:AlternateContent>
  <bookViews>
    <workbookView xWindow="0" yWindow="0" windowWidth="24000" windowHeight="979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" i="1"/>
</calcChain>
</file>

<file path=xl/sharedStrings.xml><?xml version="1.0" encoding="utf-8"?>
<sst xmlns="http://schemas.openxmlformats.org/spreadsheetml/2006/main" count="176" uniqueCount="149">
  <si>
    <t>Bill of Material (BOM) for Interface_Board</t>
  </si>
  <si>
    <t>S. No.</t>
  </si>
  <si>
    <t>Components</t>
  </si>
  <si>
    <t>Description</t>
  </si>
  <si>
    <t>Designator</t>
  </si>
  <si>
    <t>Footprint (Package)</t>
  </si>
  <si>
    <t>Manufacturer Part Number</t>
  </si>
  <si>
    <t>Value</t>
  </si>
  <si>
    <t>LCSC/MOQ</t>
  </si>
  <si>
    <t>Quantity (Per Board)</t>
  </si>
  <si>
    <t>Remarks</t>
  </si>
  <si>
    <t>Capacitor</t>
  </si>
  <si>
    <t>CAP CER 0.1UF 100V X7R 0603</t>
  </si>
  <si>
    <t>C34, C35, C37, C40</t>
  </si>
  <si>
    <t>Cap0603</t>
  </si>
  <si>
    <t>CC0603KRX7R0BB104</t>
  </si>
  <si>
    <t>0.1uF</t>
  </si>
  <si>
    <t>CAP CER 1UF 100V X7S 0805</t>
  </si>
  <si>
    <t>C45</t>
  </si>
  <si>
    <t>Cap0805</t>
  </si>
  <si>
    <t>GCM21BC72A105KE36L</t>
  </si>
  <si>
    <t>1uF</t>
  </si>
  <si>
    <t>CAP CER 10PF 50V C0G/NP0 0603</t>
  </si>
  <si>
    <t>C48, C49, C50, C51, C52, C53, C54, C55</t>
  </si>
  <si>
    <t>FN18N100J500PSG</t>
  </si>
  <si>
    <t>10pF</t>
  </si>
  <si>
    <t>CAP CER 0.022UF 100V X7R 0603</t>
  </si>
  <si>
    <t>C36, C56, C57</t>
  </si>
  <si>
    <t xml:space="preserve">CL10B223KB8NNNC
</t>
  </si>
  <si>
    <t>22nF</t>
  </si>
  <si>
    <t>CAP CER 2.2UF 50V X5R 0603</t>
  </si>
  <si>
    <t>C38</t>
  </si>
  <si>
    <t xml:space="preserve">UMK107BBJ225KA-T
</t>
  </si>
  <si>
    <t>2.2uF</t>
  </si>
  <si>
    <t>25V 5mm 10mm 100uF 100kHz SMD,5x10mm Aluminum Electrolytic Cap- SMD ROHS</t>
  </si>
  <si>
    <t>C43</t>
  </si>
  <si>
    <t>Custom</t>
  </si>
  <si>
    <t>VKMB1001E101MV</t>
  </si>
  <si>
    <t>100uF</t>
  </si>
  <si>
    <t>63V 10mm 8mm 100uF ±20% ,8x10mm Aluminum Electrolytic Cap</t>
  </si>
  <si>
    <t>C44, C79</t>
  </si>
  <si>
    <t>VKMD1001J101MV</t>
  </si>
  <si>
    <t>CAP ALUM 10uF 25V SMD</t>
  </si>
  <si>
    <t>RVT1E100M0405</t>
  </si>
  <si>
    <t>10uF</t>
  </si>
  <si>
    <t xml:space="preserve">10V 22uF ±10% CASE-A_3216 Tantalum Capacitors ROHS
</t>
  </si>
  <si>
    <t>C2</t>
  </si>
  <si>
    <t>Cap Case-A</t>
  </si>
  <si>
    <t>CA45A-A-10V-22uF-K</t>
  </si>
  <si>
    <t>22uF</t>
  </si>
  <si>
    <t xml:space="preserve">CAP CER 1000PF 2KV X7R 1206
</t>
  </si>
  <si>
    <t>C58</t>
  </si>
  <si>
    <t>Cap1206</t>
  </si>
  <si>
    <t>CC1206KKX7RDBB102</t>
  </si>
  <si>
    <t>1000pF</t>
  </si>
  <si>
    <t>Diode</t>
  </si>
  <si>
    <t xml:space="preserve">DIODE SCHOTTKY 30V 3A CFP5
</t>
  </si>
  <si>
    <t>D2</t>
  </si>
  <si>
    <t xml:space="preserve">SOD-128
</t>
  </si>
  <si>
    <t>PMEG3030EP,115</t>
  </si>
  <si>
    <t>-----</t>
  </si>
  <si>
    <t>SOD-523 Schottky Barrier Diodes (SBD) ROHS</t>
  </si>
  <si>
    <t>D3</t>
  </si>
  <si>
    <t>SOD-523</t>
  </si>
  <si>
    <t>MSK4010</t>
  </si>
  <si>
    <t>Mosfet</t>
  </si>
  <si>
    <t>MOSFET N-CH 20V 4.2A SOT23</t>
  </si>
  <si>
    <t>Q1</t>
  </si>
  <si>
    <t>SOT-23</t>
  </si>
  <si>
    <t>IRLML2502TRPBF</t>
  </si>
  <si>
    <t>Inductor</t>
  </si>
  <si>
    <t>FIXED IND 33UH 2.5A 189.2MOHM SM</t>
  </si>
  <si>
    <t>L10</t>
  </si>
  <si>
    <t>ETQ-P4M330YFN</t>
  </si>
  <si>
    <t>Resistor</t>
  </si>
  <si>
    <t>RES SMD 10K OHM 5% 1/10W 0603</t>
  </si>
  <si>
    <t>R1,R18</t>
  </si>
  <si>
    <t>Res0603</t>
  </si>
  <si>
    <t>AC0603JR-0710KL</t>
  </si>
  <si>
    <t>10K</t>
  </si>
  <si>
    <t>RES  SMD 330R 100 mW 0603</t>
  </si>
  <si>
    <t xml:space="preserve"> R33, R39</t>
  </si>
  <si>
    <t>RC0603JR-07330RL</t>
  </si>
  <si>
    <t>330R</t>
  </si>
  <si>
    <t>RES SMD 1K OHM 1% 1/10W 0603</t>
  </si>
  <si>
    <t>R21, R22, R29</t>
  </si>
  <si>
    <t>RC0603FR-071KL</t>
  </si>
  <si>
    <t>1K</t>
  </si>
  <si>
    <t>RES SMD ±5% ±200ppm/℃ 0.18Ω 1W 2512</t>
  </si>
  <si>
    <t>R19, R20</t>
  </si>
  <si>
    <t>RES 2512</t>
  </si>
  <si>
    <t>RTT25R18JTE</t>
  </si>
  <si>
    <t>180m</t>
  </si>
  <si>
    <t>RES 0.075 OHM 1% 2W 2512</t>
  </si>
  <si>
    <t>R27</t>
  </si>
  <si>
    <t xml:space="preserve">RL2512FK-070R075L
</t>
  </si>
  <si>
    <t>75m</t>
  </si>
  <si>
    <t>RES SMD 9kΩ ±100ppm/℃ 0.125W 0805</t>
  </si>
  <si>
    <t>R28</t>
  </si>
  <si>
    <t>0805W8F9001T5E</t>
  </si>
  <si>
    <t>9K</t>
  </si>
  <si>
    <t xml:space="preserve">RES 49.9K OHM 1% 1/10W 0603
</t>
  </si>
  <si>
    <t>R30, R31, R32, R34, R35, R36, R37, R38</t>
  </si>
  <si>
    <t>RC0603FR-0749K9L</t>
  </si>
  <si>
    <t>49K9</t>
  </si>
  <si>
    <t>IC</t>
  </si>
  <si>
    <t xml:space="preserve">IC MTR DRV BIPOLAR 5.5-36V 32QFN
</t>
  </si>
  <si>
    <t>U3</t>
  </si>
  <si>
    <t>32-QFN (5x5)</t>
  </si>
  <si>
    <t>TMC2202-WA-T</t>
  </si>
  <si>
    <t>2A 40V SOIC-8_EP_150mil DC-DC Converters ROHS</t>
  </si>
  <si>
    <t>U7</t>
  </si>
  <si>
    <t>8-SOIC</t>
  </si>
  <si>
    <t>XL4001E1</t>
  </si>
  <si>
    <t xml:space="preserve">IC REG LINEAR 3.3V 1A SOT223
</t>
  </si>
  <si>
    <t>U1</t>
  </si>
  <si>
    <t xml:space="preserve">SOT-223-3
</t>
  </si>
  <si>
    <t>AZ1117CH-3.3TRG1</t>
  </si>
  <si>
    <t>Connector</t>
  </si>
  <si>
    <t>P=2.54mm Female Headers,SMD,ROHS</t>
  </si>
  <si>
    <t>J1</t>
  </si>
  <si>
    <t>PHF254SMD-x</t>
  </si>
  <si>
    <t>10/100 BASE-TX RJ45 WITH LEDS_x000D_
INTEGRATED MAGNETICS CONNECTOR</t>
  </si>
  <si>
    <t>J2, J3</t>
  </si>
  <si>
    <t>SK07-111071ENL</t>
  </si>
  <si>
    <t>CONN HEADER 4 POS 2.54mm SMD</t>
  </si>
  <si>
    <t>J4</t>
  </si>
  <si>
    <t>1125N1202SNM</t>
  </si>
  <si>
    <t>2.54mm Straight 1 4 Header TH,P=2.54mm Pin Headers ROHS</t>
  </si>
  <si>
    <t>P1</t>
  </si>
  <si>
    <t>HDR1X4</t>
  </si>
  <si>
    <t>MTP125-1104S1</t>
  </si>
  <si>
    <t>CONN HEADER VERT 2POS 2.54MM</t>
  </si>
  <si>
    <t>P2, P3</t>
  </si>
  <si>
    <t>HDR1X2</t>
  </si>
  <si>
    <t>826629-2</t>
  </si>
  <si>
    <t>Solder Bridge ON</t>
  </si>
  <si>
    <t xml:space="preserve"> SB1,SB2, SB3,SB3, SB4,SB5</t>
  </si>
  <si>
    <t>Solder Bridge</t>
  </si>
  <si>
    <t>DO NOT Mount</t>
  </si>
  <si>
    <t>Test Point ON</t>
  </si>
  <si>
    <t>P4, P5, P6, P7,P8</t>
  </si>
  <si>
    <t>TEST POINT</t>
  </si>
  <si>
    <t>C1</t>
  </si>
  <si>
    <t>Quantity 5</t>
  </si>
  <si>
    <t>MOQ=10</t>
  </si>
  <si>
    <t>MOQ=100</t>
  </si>
  <si>
    <t>---</t>
  </si>
  <si>
    <t>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</si>
</sst>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_-[$$-409]* #,##0.00_ ;_-[$$-409]* \-#,##0.00\ ;_-[$$-409]* &quot;-&quot;??_ ;_-@_ "/>
  </numFmts>
  <fonts count="13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trike/>
      <sz val="11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trike/>
      <sz val="11"/>
      <color rgb="FFFF0000"/>
      <name val="Calibri"/>
      <charset val="134"/>
      <scheme val="minor"/>
    </font>
    <font>
      <b/>
      <sz val="12"/>
      <color theme="0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4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7" fillId="0" borderId="0" xfId="0" applyFont="1"/>
    <xf numFmtId="0" fontId="0" fillId="0" borderId="7" xfId="0" quotePrefix="1" applyFont="1" applyFill="1" applyBorder="1" applyAlignment="1">
      <alignment horizontal="left" vertical="center"/>
    </xf>
    <xf numFmtId="0" fontId="0" fillId="0" borderId="8" xfId="0" quotePrefix="1" applyFont="1" applyFill="1" applyBorder="1" applyAlignment="1">
      <alignment horizontal="center" vertical="center"/>
    </xf>
    <xf numFmtId="0" fontId="0" fillId="4" borderId="8" xfId="0" quotePrefix="1" applyFont="1" applyFill="1" applyBorder="1" applyAlignment="1">
      <alignment horizontal="center" vertical="center"/>
    </xf>
    <xf numFmtId="0" fontId="0" fillId="0" borderId="10" xfId="0" quotePrefix="1" applyFont="1" applyFill="1" applyBorder="1" applyAlignment="1">
      <alignment horizontal="left" vertical="center"/>
    </xf>
    <xf numFmtId="0" fontId="0" fillId="0" borderId="11" xfId="0" quotePrefix="1" applyFont="1" applyFill="1" applyBorder="1" applyAlignment="1">
      <alignment horizontal="center" vertical="center"/>
    </xf>
    <xf numFmtId="0" fontId="0" fillId="4" borderId="11" xfId="0" quotePrefix="1" applyFont="1" applyFill="1" applyBorder="1" applyAlignment="1">
      <alignment horizontal="center" vertical="center"/>
    </xf>
    <xf numFmtId="0" fontId="0" fillId="0" borderId="10" xfId="0" quotePrefix="1" applyFont="1" applyBorder="1" applyAlignment="1">
      <alignment horizontal="left" vertical="center"/>
    </xf>
    <xf numFmtId="0" fontId="0" fillId="0" borderId="11" xfId="0" quotePrefix="1" applyFont="1" applyBorder="1" applyAlignment="1">
      <alignment horizontal="center" vertical="center"/>
    </xf>
    <xf numFmtId="0" fontId="4" fillId="4" borderId="11" xfId="0" quotePrefix="1" applyFont="1" applyFill="1" applyBorder="1" applyAlignment="1">
      <alignment horizontal="center" vertical="center"/>
    </xf>
    <xf numFmtId="0" fontId="0" fillId="0" borderId="13" xfId="0" quotePrefix="1" applyFont="1" applyBorder="1" applyAlignment="1">
      <alignment horizontal="left" vertical="center"/>
    </xf>
    <xf numFmtId="0" fontId="0" fillId="0" borderId="14" xfId="0" quotePrefix="1" applyFont="1" applyBorder="1" applyAlignment="1">
      <alignment horizontal="center" vertical="center"/>
    </xf>
    <xf numFmtId="0" fontId="0" fillId="4" borderId="14" xfId="0" quotePrefix="1" applyFont="1" applyFill="1" applyBorder="1" applyAlignment="1">
      <alignment horizontal="center" vertical="center"/>
    </xf>
    <xf numFmtId="0" fontId="4" fillId="0" borderId="14" xfId="0" quotePrefix="1" applyFont="1" applyBorder="1" applyAlignment="1">
      <alignment horizontal="center" vertical="center"/>
    </xf>
    <xf numFmtId="0" fontId="4" fillId="4" borderId="14" xfId="0" quotePrefix="1" applyFont="1" applyFill="1" applyBorder="1" applyAlignment="1">
      <alignment horizontal="center" vertical="center"/>
    </xf>
    <xf numFmtId="0" fontId="0" fillId="0" borderId="7" xfId="0" quotePrefix="1" applyFont="1" applyBorder="1" applyAlignment="1">
      <alignment horizontal="left" vertical="center"/>
    </xf>
    <xf numFmtId="0" fontId="0" fillId="0" borderId="8" xfId="0" quotePrefix="1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/>
    </xf>
    <xf numFmtId="0" fontId="0" fillId="4" borderId="7" xfId="0" quotePrefix="1" applyFont="1" applyFill="1" applyBorder="1" applyAlignment="1">
      <alignment horizontal="left" vertical="center"/>
    </xf>
    <xf numFmtId="0" fontId="0" fillId="4" borderId="10" xfId="0" quotePrefix="1" applyFont="1" applyFill="1" applyBorder="1" applyAlignment="1">
      <alignment horizontal="left" vertical="center"/>
    </xf>
    <xf numFmtId="0" fontId="0" fillId="4" borderId="13" xfId="0" quotePrefix="1" applyFont="1" applyFill="1" applyBorder="1" applyAlignment="1">
      <alignment horizontal="left" vertical="center"/>
    </xf>
    <xf numFmtId="0" fontId="6" fillId="7" borderId="10" xfId="0" quotePrefix="1" applyFont="1" applyFill="1" applyBorder="1" applyAlignment="1">
      <alignment horizontal="left" vertical="center"/>
    </xf>
    <xf numFmtId="0" fontId="6" fillId="7" borderId="11" xfId="0" quotePrefix="1" applyFont="1" applyFill="1" applyBorder="1" applyAlignment="1">
      <alignment horizontal="center" vertical="center"/>
    </xf>
    <xf numFmtId="0" fontId="6" fillId="7" borderId="13" xfId="0" quotePrefix="1" applyFont="1" applyFill="1" applyBorder="1" applyAlignment="1">
      <alignment horizontal="left" vertical="center"/>
    </xf>
    <xf numFmtId="0" fontId="6" fillId="7" borderId="14" xfId="0" quotePrefix="1" applyFont="1" applyFill="1" applyBorder="1" applyAlignment="1">
      <alignment horizontal="center" vertical="center"/>
    </xf>
    <xf numFmtId="0" fontId="0" fillId="0" borderId="0" xfId="0" applyAlignment="1"/>
    <xf numFmtId="0" fontId="0" fillId="4" borderId="8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4" fillId="4" borderId="19" xfId="0" quotePrefix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9" xfId="0" quotePrefix="1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4" borderId="23" xfId="0" quotePrefix="1" applyFont="1" applyFill="1" applyBorder="1" applyAlignment="1">
      <alignment horizontal="left" vertical="center"/>
    </xf>
    <xf numFmtId="0" fontId="5" fillId="6" borderId="20" xfId="0" quotePrefix="1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6" borderId="24" xfId="0" quotePrefix="1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0" fillId="0" borderId="0" xfId="0" applyFont="1" applyAlignment="1"/>
    <xf numFmtId="0" fontId="12" fillId="0" borderId="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0" fillId="6" borderId="20" xfId="0" applyFont="1" applyFill="1" applyBorder="1" applyAlignment="1">
      <alignment horizontal="center" vertical="center"/>
    </xf>
    <xf numFmtId="0" fontId="0" fillId="6" borderId="7" xfId="0" quotePrefix="1" applyFont="1" applyFill="1" applyBorder="1" applyAlignment="1">
      <alignment horizontal="left" vertical="center"/>
    </xf>
    <xf numFmtId="0" fontId="0" fillId="6" borderId="8" xfId="0" quotePrefix="1" applyFont="1" applyFill="1" applyBorder="1" applyAlignment="1">
      <alignment horizontal="center" vertical="center"/>
    </xf>
    <xf numFmtId="0" fontId="4" fillId="6" borderId="8" xfId="0" quotePrefix="1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0" fillId="6" borderId="8" xfId="0" applyFont="1" applyFill="1" applyBorder="1" applyAlignment="1">
      <alignment horizontal="center" vertical="center"/>
    </xf>
    <xf numFmtId="0" fontId="0" fillId="6" borderId="10" xfId="0" quotePrefix="1" applyFont="1" applyFill="1" applyBorder="1" applyAlignment="1">
      <alignment horizontal="left" vertical="center"/>
    </xf>
    <xf numFmtId="0" fontId="0" fillId="6" borderId="11" xfId="0" quotePrefix="1" applyFont="1" applyFill="1" applyBorder="1" applyAlignment="1">
      <alignment horizontal="center" vertical="center"/>
    </xf>
    <xf numFmtId="0" fontId="4" fillId="6" borderId="11" xfId="0" quotePrefix="1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0" fillId="6" borderId="11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167" fontId="9" fillId="4" borderId="17" xfId="0" applyNumberFormat="1" applyFont="1" applyFill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167" fontId="9" fillId="4" borderId="21" xfId="0" applyNumberFormat="1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0" fillId="4" borderId="16" xfId="0" applyFont="1" applyFill="1" applyBorder="1" applyAlignment="1">
      <alignment horizontal="center" vertical="center"/>
    </xf>
    <xf numFmtId="0" fontId="0" fillId="4" borderId="17" xfId="0" applyFont="1" applyFill="1" applyBorder="1" applyAlignment="1">
      <alignment horizontal="center" vertical="center"/>
    </xf>
    <xf numFmtId="0" fontId="0" fillId="4" borderId="18" xfId="0" applyFont="1" applyFill="1" applyBorder="1" applyAlignment="1">
      <alignment horizontal="center" vertical="center"/>
    </xf>
    <xf numFmtId="167" fontId="9" fillId="6" borderId="16" xfId="0" applyNumberFormat="1" applyFont="1" applyFill="1" applyBorder="1" applyAlignment="1">
      <alignment horizontal="center" vertical="center"/>
    </xf>
    <xf numFmtId="167" fontId="11" fillId="6" borderId="16" xfId="0" applyNumberFormat="1" applyFont="1" applyFill="1" applyBorder="1" applyAlignment="1">
      <alignment horizontal="center" vertical="center"/>
    </xf>
    <xf numFmtId="167" fontId="9" fillId="6" borderId="17" xfId="0" applyNumberFormat="1" applyFont="1" applyFill="1" applyBorder="1" applyAlignment="1">
      <alignment horizontal="center" vertical="center"/>
    </xf>
    <xf numFmtId="167" fontId="9" fillId="7" borderId="17" xfId="0" applyNumberFormat="1" applyFont="1" applyFill="1" applyBorder="1" applyAlignment="1">
      <alignment horizontal="center" vertical="center"/>
    </xf>
    <xf numFmtId="167" fontId="9" fillId="7" borderId="1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0"/>
  <sheetViews>
    <sheetView tabSelected="1" zoomScale="85" zoomScaleNormal="85" workbookViewId="0">
      <selection activeCell="D31" sqref="D31"/>
    </sheetView>
  </sheetViews>
  <sheetFormatPr defaultColWidth="9" defaultRowHeight="15"/>
  <cols>
    <col min="1" max="1" width="6.140625" style="1" customWidth="1"/>
    <col min="2" max="2" width="14.42578125" customWidth="1"/>
    <col min="3" max="3" width="47.5703125" customWidth="1"/>
    <col min="4" max="4" width="34.7109375" bestFit="1" customWidth="1"/>
    <col min="5" max="5" width="21" customWidth="1"/>
    <col min="6" max="6" width="29" customWidth="1"/>
    <col min="7" max="7" width="7" customWidth="1"/>
    <col min="8" max="8" width="11.5703125" customWidth="1"/>
    <col min="9" max="9" width="21.85546875" customWidth="1"/>
    <col min="10" max="11" width="14.140625" customWidth="1"/>
  </cols>
  <sheetData>
    <row r="1" spans="1:27" ht="16.5" thickBot="1">
      <c r="A1" s="80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2"/>
    </row>
    <row r="2" spans="1:27" s="49" customFormat="1" ht="16.5" thickBot="1">
      <c r="A2" s="61" t="s">
        <v>1</v>
      </c>
      <c r="B2" s="51" t="s">
        <v>2</v>
      </c>
      <c r="C2" s="62" t="s">
        <v>3</v>
      </c>
      <c r="D2" s="51" t="s">
        <v>4</v>
      </c>
      <c r="E2" s="51" t="s">
        <v>5</v>
      </c>
      <c r="F2" s="51" t="s">
        <v>6</v>
      </c>
      <c r="G2" s="51" t="s">
        <v>7</v>
      </c>
      <c r="H2" s="51" t="s">
        <v>8</v>
      </c>
      <c r="I2" s="51" t="s">
        <v>9</v>
      </c>
      <c r="J2" s="51" t="s">
        <v>144</v>
      </c>
      <c r="K2" s="51" t="s">
        <v>10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 spans="1:27" ht="15.75" thickBot="1">
      <c r="A3" s="2">
        <v>1</v>
      </c>
      <c r="B3" s="77" t="s">
        <v>11</v>
      </c>
      <c r="C3" s="25" t="s">
        <v>12</v>
      </c>
      <c r="D3" s="50" t="s">
        <v>13</v>
      </c>
      <c r="E3" s="26" t="s">
        <v>14</v>
      </c>
      <c r="F3" s="27" t="s">
        <v>15</v>
      </c>
      <c r="G3" s="26" t="s">
        <v>16</v>
      </c>
      <c r="H3" s="15">
        <v>50</v>
      </c>
      <c r="I3" s="3">
        <v>4</v>
      </c>
      <c r="J3" s="15">
        <f>I3*5</f>
        <v>20</v>
      </c>
      <c r="K3" s="83"/>
    </row>
    <row r="4" spans="1:27" ht="15.75" thickBot="1">
      <c r="A4" s="2">
        <v>2</v>
      </c>
      <c r="B4" s="78"/>
      <c r="C4" s="28" t="s">
        <v>17</v>
      </c>
      <c r="D4" s="30" t="s">
        <v>18</v>
      </c>
      <c r="E4" s="29" t="s">
        <v>19</v>
      </c>
      <c r="F4" s="30" t="s">
        <v>20</v>
      </c>
      <c r="G4" s="29" t="s">
        <v>21</v>
      </c>
      <c r="H4" s="8">
        <v>10</v>
      </c>
      <c r="I4" s="5">
        <v>1</v>
      </c>
      <c r="J4" s="8">
        <f t="shared" ref="J4:J33" si="0">I4*5</f>
        <v>5</v>
      </c>
      <c r="K4" s="84"/>
    </row>
    <row r="5" spans="1:27" ht="15.75" thickBot="1">
      <c r="A5" s="2">
        <v>3</v>
      </c>
      <c r="B5" s="78"/>
      <c r="C5" s="28" t="s">
        <v>22</v>
      </c>
      <c r="D5" s="30" t="s">
        <v>23</v>
      </c>
      <c r="E5" s="29" t="s">
        <v>14</v>
      </c>
      <c r="F5" s="7" t="s">
        <v>24</v>
      </c>
      <c r="G5" s="29" t="s">
        <v>25</v>
      </c>
      <c r="H5" s="8">
        <v>100</v>
      </c>
      <c r="I5" s="5">
        <v>8</v>
      </c>
      <c r="J5" s="8">
        <f t="shared" si="0"/>
        <v>40</v>
      </c>
      <c r="K5" s="84"/>
    </row>
    <row r="6" spans="1:27" ht="15.75" thickBot="1">
      <c r="A6" s="2">
        <v>4</v>
      </c>
      <c r="B6" s="78"/>
      <c r="C6" s="31" t="s">
        <v>26</v>
      </c>
      <c r="D6" s="30" t="s">
        <v>27</v>
      </c>
      <c r="E6" s="32" t="s">
        <v>14</v>
      </c>
      <c r="F6" s="30" t="s">
        <v>28</v>
      </c>
      <c r="G6" s="32" t="s">
        <v>29</v>
      </c>
      <c r="H6" s="8">
        <v>50</v>
      </c>
      <c r="I6" s="9">
        <v>3</v>
      </c>
      <c r="J6" s="8">
        <f t="shared" si="0"/>
        <v>15</v>
      </c>
      <c r="K6" s="84"/>
    </row>
    <row r="7" spans="1:27" ht="15.75" thickBot="1">
      <c r="A7" s="2">
        <v>5</v>
      </c>
      <c r="B7" s="78"/>
      <c r="C7" s="31" t="s">
        <v>30</v>
      </c>
      <c r="D7" s="30" t="s">
        <v>31</v>
      </c>
      <c r="E7" s="32" t="s">
        <v>14</v>
      </c>
      <c r="F7" s="10" t="s">
        <v>32</v>
      </c>
      <c r="G7" s="32" t="s">
        <v>33</v>
      </c>
      <c r="H7" s="8">
        <v>10</v>
      </c>
      <c r="I7" s="9">
        <v>1</v>
      </c>
      <c r="J7" s="8">
        <f t="shared" si="0"/>
        <v>5</v>
      </c>
      <c r="K7" s="84"/>
    </row>
    <row r="8" spans="1:27" ht="15.75" thickBot="1">
      <c r="A8" s="2">
        <v>6</v>
      </c>
      <c r="B8" s="78"/>
      <c r="C8" s="31" t="s">
        <v>34</v>
      </c>
      <c r="D8" s="30" t="s">
        <v>35</v>
      </c>
      <c r="E8" s="32" t="s">
        <v>36</v>
      </c>
      <c r="F8" s="30" t="s">
        <v>37</v>
      </c>
      <c r="G8" s="32" t="s">
        <v>38</v>
      </c>
      <c r="H8" s="8">
        <v>10</v>
      </c>
      <c r="I8" s="19">
        <v>1</v>
      </c>
      <c r="J8" s="8">
        <f t="shared" si="0"/>
        <v>5</v>
      </c>
      <c r="K8" s="85"/>
    </row>
    <row r="9" spans="1:27" ht="15.75" thickBot="1">
      <c r="A9" s="2">
        <v>7</v>
      </c>
      <c r="B9" s="78"/>
      <c r="C9" s="31" t="s">
        <v>39</v>
      </c>
      <c r="D9" s="30" t="s">
        <v>40</v>
      </c>
      <c r="E9" s="32" t="s">
        <v>36</v>
      </c>
      <c r="F9" s="30" t="s">
        <v>41</v>
      </c>
      <c r="G9" s="32" t="s">
        <v>38</v>
      </c>
      <c r="H9" s="8">
        <v>12</v>
      </c>
      <c r="I9" s="19">
        <v>2</v>
      </c>
      <c r="J9" s="8">
        <f t="shared" si="0"/>
        <v>10</v>
      </c>
      <c r="K9" s="85"/>
      <c r="L9" s="22"/>
    </row>
    <row r="10" spans="1:27" ht="15.75" thickBot="1">
      <c r="A10" s="2">
        <v>8</v>
      </c>
      <c r="B10" s="78"/>
      <c r="C10" s="31" t="s">
        <v>42</v>
      </c>
      <c r="D10" s="30" t="s">
        <v>143</v>
      </c>
      <c r="E10" s="32" t="s">
        <v>36</v>
      </c>
      <c r="F10" s="30" t="s">
        <v>43</v>
      </c>
      <c r="G10" s="32" t="s">
        <v>44</v>
      </c>
      <c r="H10" s="8">
        <v>20</v>
      </c>
      <c r="I10" s="9">
        <v>1</v>
      </c>
      <c r="J10" s="8">
        <f t="shared" si="0"/>
        <v>5</v>
      </c>
      <c r="K10" s="84"/>
      <c r="L10" s="22"/>
    </row>
    <row r="11" spans="1:27" ht="15.75" thickBot="1">
      <c r="A11" s="2">
        <v>9</v>
      </c>
      <c r="B11" s="78"/>
      <c r="C11" s="31" t="s">
        <v>45</v>
      </c>
      <c r="D11" s="30" t="s">
        <v>46</v>
      </c>
      <c r="E11" s="32" t="s">
        <v>47</v>
      </c>
      <c r="F11" s="30" t="s">
        <v>48</v>
      </c>
      <c r="G11" s="32" t="s">
        <v>49</v>
      </c>
      <c r="H11" s="8">
        <v>10</v>
      </c>
      <c r="I11" s="9">
        <v>1</v>
      </c>
      <c r="J11" s="8">
        <f t="shared" si="0"/>
        <v>5</v>
      </c>
      <c r="K11" s="86"/>
      <c r="L11" s="23"/>
    </row>
    <row r="12" spans="1:27" ht="15.75" thickBot="1">
      <c r="A12" s="2">
        <v>10</v>
      </c>
      <c r="B12" s="79"/>
      <c r="C12" s="34" t="s">
        <v>50</v>
      </c>
      <c r="D12" s="36" t="s">
        <v>51</v>
      </c>
      <c r="E12" s="35" t="s">
        <v>52</v>
      </c>
      <c r="F12" s="36" t="s">
        <v>53</v>
      </c>
      <c r="G12" s="35" t="s">
        <v>54</v>
      </c>
      <c r="H12" s="11">
        <v>50</v>
      </c>
      <c r="I12" s="13">
        <v>1</v>
      </c>
      <c r="J12" s="11">
        <f t="shared" si="0"/>
        <v>5</v>
      </c>
      <c r="K12" s="87"/>
      <c r="L12" s="22"/>
    </row>
    <row r="13" spans="1:27" ht="15.75" thickBot="1">
      <c r="A13" s="2">
        <v>11</v>
      </c>
      <c r="B13" s="77" t="s">
        <v>55</v>
      </c>
      <c r="C13" s="39" t="s">
        <v>56</v>
      </c>
      <c r="D13" s="27" t="s">
        <v>57</v>
      </c>
      <c r="E13" s="40" t="s">
        <v>58</v>
      </c>
      <c r="F13" s="27" t="s">
        <v>59</v>
      </c>
      <c r="G13" s="41" t="s">
        <v>60</v>
      </c>
      <c r="H13" s="15">
        <v>7</v>
      </c>
      <c r="I13" s="20">
        <v>1</v>
      </c>
      <c r="J13" s="15">
        <f t="shared" si="0"/>
        <v>5</v>
      </c>
      <c r="K13" s="83"/>
      <c r="L13" s="22"/>
    </row>
    <row r="14" spans="1:27" ht="15.75" thickBot="1">
      <c r="A14" s="2">
        <v>12</v>
      </c>
      <c r="B14" s="79"/>
      <c r="C14" s="34" t="s">
        <v>61</v>
      </c>
      <c r="D14" s="36" t="s">
        <v>62</v>
      </c>
      <c r="E14" s="35" t="s">
        <v>63</v>
      </c>
      <c r="F14" s="36" t="s">
        <v>64</v>
      </c>
      <c r="G14" s="37" t="s">
        <v>60</v>
      </c>
      <c r="H14" s="11">
        <v>20</v>
      </c>
      <c r="I14" s="21">
        <v>1</v>
      </c>
      <c r="J14" s="11">
        <f t="shared" si="0"/>
        <v>5</v>
      </c>
      <c r="K14" s="88"/>
      <c r="L14" s="22"/>
    </row>
    <row r="15" spans="1:27" ht="15.75" thickBot="1">
      <c r="A15" s="2">
        <v>13</v>
      </c>
      <c r="B15" s="65" t="s">
        <v>65</v>
      </c>
      <c r="C15" s="57" t="s">
        <v>66</v>
      </c>
      <c r="D15" s="54" t="s">
        <v>67</v>
      </c>
      <c r="E15" s="54" t="s">
        <v>68</v>
      </c>
      <c r="F15" s="54" t="s">
        <v>69</v>
      </c>
      <c r="G15" s="52" t="s">
        <v>60</v>
      </c>
      <c r="H15" s="55">
        <v>7</v>
      </c>
      <c r="I15" s="55">
        <v>1</v>
      </c>
      <c r="J15" s="56">
        <f t="shared" si="0"/>
        <v>5</v>
      </c>
      <c r="K15" s="89"/>
      <c r="L15" s="22"/>
    </row>
    <row r="16" spans="1:27" ht="15.75" thickBot="1">
      <c r="A16" s="2">
        <v>14</v>
      </c>
      <c r="B16" s="64" t="s">
        <v>70</v>
      </c>
      <c r="C16" s="60" t="s">
        <v>71</v>
      </c>
      <c r="D16" s="58" t="s">
        <v>72</v>
      </c>
      <c r="E16" s="58" t="s">
        <v>36</v>
      </c>
      <c r="F16" s="58" t="s">
        <v>73</v>
      </c>
      <c r="G16" s="58" t="s">
        <v>60</v>
      </c>
      <c r="H16" s="59">
        <v>7</v>
      </c>
      <c r="I16" s="59">
        <v>1</v>
      </c>
      <c r="J16" s="66">
        <f t="shared" si="0"/>
        <v>5</v>
      </c>
      <c r="K16" s="90"/>
      <c r="L16" s="22"/>
    </row>
    <row r="17" spans="1:12" ht="15.75" thickBot="1">
      <c r="A17" s="2">
        <v>15</v>
      </c>
      <c r="B17" s="77" t="s">
        <v>74</v>
      </c>
      <c r="C17" s="42" t="s">
        <v>75</v>
      </c>
      <c r="D17" s="27" t="s">
        <v>76</v>
      </c>
      <c r="E17" s="27" t="s">
        <v>77</v>
      </c>
      <c r="F17" s="27" t="s">
        <v>78</v>
      </c>
      <c r="G17" s="27" t="s">
        <v>79</v>
      </c>
      <c r="H17" s="4">
        <v>100</v>
      </c>
      <c r="I17" s="4">
        <v>2</v>
      </c>
      <c r="J17" s="15">
        <f t="shared" si="0"/>
        <v>10</v>
      </c>
      <c r="K17" s="91"/>
      <c r="L17" s="22"/>
    </row>
    <row r="18" spans="1:12" ht="15.75" thickBot="1">
      <c r="A18" s="2">
        <v>16</v>
      </c>
      <c r="B18" s="78"/>
      <c r="C18" s="43" t="s">
        <v>80</v>
      </c>
      <c r="D18" s="6" t="s">
        <v>81</v>
      </c>
      <c r="E18" s="30" t="s">
        <v>77</v>
      </c>
      <c r="F18" s="30" t="s">
        <v>82</v>
      </c>
      <c r="G18" s="30" t="s">
        <v>83</v>
      </c>
      <c r="H18" s="6">
        <v>100</v>
      </c>
      <c r="I18" s="6">
        <v>2</v>
      </c>
      <c r="J18" s="8">
        <f t="shared" si="0"/>
        <v>10</v>
      </c>
      <c r="K18" s="92"/>
      <c r="L18" s="22"/>
    </row>
    <row r="19" spans="1:12" ht="15.75" thickBot="1">
      <c r="A19" s="2">
        <v>17</v>
      </c>
      <c r="B19" s="78"/>
      <c r="C19" s="43" t="s">
        <v>84</v>
      </c>
      <c r="D19" s="6" t="s">
        <v>85</v>
      </c>
      <c r="E19" s="30" t="s">
        <v>77</v>
      </c>
      <c r="F19" s="30" t="s">
        <v>86</v>
      </c>
      <c r="G19" s="30" t="s">
        <v>87</v>
      </c>
      <c r="H19" s="6">
        <v>100</v>
      </c>
      <c r="I19" s="6">
        <v>3</v>
      </c>
      <c r="J19" s="8">
        <f t="shared" si="0"/>
        <v>15</v>
      </c>
      <c r="K19" s="92"/>
      <c r="L19" s="22"/>
    </row>
    <row r="20" spans="1:12" ht="15.75" thickBot="1">
      <c r="A20" s="2">
        <v>18</v>
      </c>
      <c r="B20" s="78"/>
      <c r="C20" s="43" t="s">
        <v>88</v>
      </c>
      <c r="D20" s="30" t="s">
        <v>89</v>
      </c>
      <c r="E20" s="30" t="s">
        <v>90</v>
      </c>
      <c r="F20" s="30" t="s">
        <v>91</v>
      </c>
      <c r="G20" s="30" t="s">
        <v>92</v>
      </c>
      <c r="H20" s="6">
        <v>20</v>
      </c>
      <c r="I20" s="6">
        <v>2</v>
      </c>
      <c r="J20" s="8">
        <f t="shared" si="0"/>
        <v>10</v>
      </c>
      <c r="K20" s="92"/>
      <c r="L20" s="22"/>
    </row>
    <row r="21" spans="1:12" ht="15.75" thickBot="1">
      <c r="A21" s="2">
        <v>19</v>
      </c>
      <c r="B21" s="78"/>
      <c r="C21" s="43" t="s">
        <v>93</v>
      </c>
      <c r="D21" s="30" t="s">
        <v>94</v>
      </c>
      <c r="E21" s="30" t="s">
        <v>90</v>
      </c>
      <c r="F21" s="33" t="s">
        <v>95</v>
      </c>
      <c r="G21" s="30" t="s">
        <v>96</v>
      </c>
      <c r="H21" s="6">
        <v>10</v>
      </c>
      <c r="I21" s="6">
        <v>1</v>
      </c>
      <c r="J21" s="8">
        <f t="shared" si="0"/>
        <v>5</v>
      </c>
      <c r="K21" s="92"/>
      <c r="L21" s="22"/>
    </row>
    <row r="22" spans="1:12" ht="15.75" thickBot="1">
      <c r="A22" s="2">
        <v>20</v>
      </c>
      <c r="B22" s="78"/>
      <c r="C22" s="43" t="s">
        <v>97</v>
      </c>
      <c r="D22" s="30" t="s">
        <v>98</v>
      </c>
      <c r="E22" s="30" t="s">
        <v>19</v>
      </c>
      <c r="F22" s="30" t="s">
        <v>99</v>
      </c>
      <c r="G22" s="30" t="s">
        <v>100</v>
      </c>
      <c r="H22" s="6">
        <v>100</v>
      </c>
      <c r="I22" s="6">
        <v>1</v>
      </c>
      <c r="J22" s="8">
        <f t="shared" si="0"/>
        <v>5</v>
      </c>
      <c r="K22" s="92"/>
      <c r="L22" s="22"/>
    </row>
    <row r="23" spans="1:12" s="49" customFormat="1" ht="15.75" thickBot="1">
      <c r="A23" s="2">
        <v>21</v>
      </c>
      <c r="B23" s="79"/>
      <c r="C23" s="44" t="s">
        <v>101</v>
      </c>
      <c r="D23" s="12" t="s">
        <v>102</v>
      </c>
      <c r="E23" s="36" t="s">
        <v>77</v>
      </c>
      <c r="F23" s="36" t="s">
        <v>103</v>
      </c>
      <c r="G23" s="36" t="s">
        <v>104</v>
      </c>
      <c r="H23" s="12">
        <v>100</v>
      </c>
      <c r="I23" s="14">
        <v>8</v>
      </c>
      <c r="J23" s="11">
        <f t="shared" si="0"/>
        <v>40</v>
      </c>
      <c r="K23" s="93"/>
      <c r="L23" s="63"/>
    </row>
    <row r="24" spans="1:12" ht="15.75" thickBot="1">
      <c r="A24" s="2">
        <v>22</v>
      </c>
      <c r="B24" s="77" t="s">
        <v>105</v>
      </c>
      <c r="C24" s="67" t="s">
        <v>106</v>
      </c>
      <c r="D24" s="68" t="s">
        <v>107</v>
      </c>
      <c r="E24" s="68" t="s">
        <v>108</v>
      </c>
      <c r="F24" s="68" t="s">
        <v>109</v>
      </c>
      <c r="G24" s="69" t="s">
        <v>60</v>
      </c>
      <c r="H24" s="70">
        <v>10</v>
      </c>
      <c r="I24" s="70">
        <v>1</v>
      </c>
      <c r="J24" s="71">
        <f t="shared" si="0"/>
        <v>5</v>
      </c>
      <c r="K24" s="94" t="s">
        <v>145</v>
      </c>
      <c r="L24" s="22"/>
    </row>
    <row r="25" spans="1:12" ht="15.75" thickBot="1">
      <c r="A25" s="2">
        <v>23</v>
      </c>
      <c r="B25" s="78"/>
      <c r="C25" s="43" t="s">
        <v>110</v>
      </c>
      <c r="D25" s="30" t="s">
        <v>111</v>
      </c>
      <c r="E25" s="30" t="s">
        <v>112</v>
      </c>
      <c r="F25" s="30" t="s">
        <v>113</v>
      </c>
      <c r="G25" s="33" t="s">
        <v>60</v>
      </c>
      <c r="H25" s="10">
        <v>6</v>
      </c>
      <c r="I25" s="10">
        <v>1</v>
      </c>
      <c r="J25" s="8">
        <f t="shared" si="0"/>
        <v>5</v>
      </c>
      <c r="K25" s="92"/>
      <c r="L25" s="22"/>
    </row>
    <row r="26" spans="1:12" ht="15.75" thickBot="1">
      <c r="A26" s="2">
        <v>24</v>
      </c>
      <c r="B26" s="79"/>
      <c r="C26" s="44" t="s">
        <v>114</v>
      </c>
      <c r="D26" s="36" t="s">
        <v>115</v>
      </c>
      <c r="E26" s="36" t="s">
        <v>116</v>
      </c>
      <c r="F26" s="36" t="s">
        <v>117</v>
      </c>
      <c r="G26" s="38" t="s">
        <v>147</v>
      </c>
      <c r="H26" s="14">
        <v>6</v>
      </c>
      <c r="I26" s="14">
        <v>1</v>
      </c>
      <c r="J26" s="11">
        <f t="shared" si="0"/>
        <v>5</v>
      </c>
      <c r="K26" s="88"/>
      <c r="L26" s="22"/>
    </row>
    <row r="27" spans="1:12" ht="15.75" thickBot="1">
      <c r="A27" s="2">
        <v>25</v>
      </c>
      <c r="B27" s="77" t="s">
        <v>118</v>
      </c>
      <c r="C27" s="67" t="s">
        <v>119</v>
      </c>
      <c r="D27" s="68" t="s">
        <v>120</v>
      </c>
      <c r="E27" s="68" t="s">
        <v>121</v>
      </c>
      <c r="F27" s="68" t="s">
        <v>121</v>
      </c>
      <c r="G27" s="68" t="s">
        <v>60</v>
      </c>
      <c r="H27" s="71">
        <v>100</v>
      </c>
      <c r="I27" s="71">
        <v>1</v>
      </c>
      <c r="J27" s="71">
        <f t="shared" si="0"/>
        <v>5</v>
      </c>
      <c r="K27" s="95" t="s">
        <v>146</v>
      </c>
      <c r="L27" s="22"/>
    </row>
    <row r="28" spans="1:12" ht="15.75" thickBot="1">
      <c r="A28" s="2">
        <v>26</v>
      </c>
      <c r="B28" s="78"/>
      <c r="C28" s="72" t="s">
        <v>122</v>
      </c>
      <c r="D28" s="73" t="s">
        <v>123</v>
      </c>
      <c r="E28" s="73" t="s">
        <v>36</v>
      </c>
      <c r="F28" s="73" t="s">
        <v>124</v>
      </c>
      <c r="G28" s="74" t="s">
        <v>148</v>
      </c>
      <c r="H28" s="75">
        <v>12</v>
      </c>
      <c r="I28" s="76">
        <v>2</v>
      </c>
      <c r="J28" s="76">
        <f t="shared" si="0"/>
        <v>10</v>
      </c>
      <c r="K28" s="96"/>
      <c r="L28" s="22"/>
    </row>
    <row r="29" spans="1:12" ht="15.75" thickBot="1">
      <c r="A29" s="2">
        <v>27</v>
      </c>
      <c r="B29" s="78"/>
      <c r="C29" s="72" t="s">
        <v>125</v>
      </c>
      <c r="D29" s="73" t="s">
        <v>126</v>
      </c>
      <c r="E29" s="73" t="s">
        <v>36</v>
      </c>
      <c r="F29" s="73" t="s">
        <v>127</v>
      </c>
      <c r="G29" s="74" t="s">
        <v>60</v>
      </c>
      <c r="H29" s="75">
        <v>10</v>
      </c>
      <c r="I29" s="76">
        <v>1</v>
      </c>
      <c r="J29" s="76">
        <f t="shared" si="0"/>
        <v>5</v>
      </c>
      <c r="K29" s="96"/>
      <c r="L29" s="22"/>
    </row>
    <row r="30" spans="1:12" ht="15.75" thickBot="1">
      <c r="A30" s="2">
        <v>28</v>
      </c>
      <c r="B30" s="78"/>
      <c r="C30" s="43" t="s">
        <v>128</v>
      </c>
      <c r="D30" s="30" t="s">
        <v>129</v>
      </c>
      <c r="E30" s="30" t="s">
        <v>130</v>
      </c>
      <c r="F30" s="30" t="s">
        <v>131</v>
      </c>
      <c r="G30" s="33" t="s">
        <v>148</v>
      </c>
      <c r="H30" s="10">
        <v>20</v>
      </c>
      <c r="I30" s="6">
        <v>1</v>
      </c>
      <c r="J30" s="8">
        <f t="shared" si="0"/>
        <v>5</v>
      </c>
      <c r="K30" s="86"/>
      <c r="L30" s="22"/>
    </row>
    <row r="31" spans="1:12" ht="15.75" thickBot="1">
      <c r="A31" s="2">
        <v>29</v>
      </c>
      <c r="B31" s="78"/>
      <c r="C31" s="43" t="s">
        <v>132</v>
      </c>
      <c r="D31" s="30" t="s">
        <v>133</v>
      </c>
      <c r="E31" s="30" t="s">
        <v>134</v>
      </c>
      <c r="F31" s="30" t="s">
        <v>135</v>
      </c>
      <c r="G31" s="33" t="s">
        <v>60</v>
      </c>
      <c r="H31" s="10">
        <v>15</v>
      </c>
      <c r="I31" s="10">
        <v>2</v>
      </c>
      <c r="J31" s="8">
        <f t="shared" si="0"/>
        <v>10</v>
      </c>
      <c r="K31" s="92"/>
      <c r="L31" s="22"/>
    </row>
    <row r="32" spans="1:12" ht="15.75" thickBot="1">
      <c r="A32" s="2">
        <v>30</v>
      </c>
      <c r="B32" s="78"/>
      <c r="C32" s="45" t="s">
        <v>136</v>
      </c>
      <c r="D32" s="16" t="s">
        <v>137</v>
      </c>
      <c r="E32" s="46" t="s">
        <v>138</v>
      </c>
      <c r="F32" s="16" t="s">
        <v>138</v>
      </c>
      <c r="G32" s="16"/>
      <c r="H32" s="16"/>
      <c r="I32" s="16">
        <v>5</v>
      </c>
      <c r="J32" s="8">
        <f t="shared" si="0"/>
        <v>25</v>
      </c>
      <c r="K32" s="97" t="s">
        <v>139</v>
      </c>
      <c r="L32" s="22"/>
    </row>
    <row r="33" spans="1:12" ht="15.75" thickBot="1">
      <c r="A33" s="53">
        <v>31</v>
      </c>
      <c r="B33" s="79"/>
      <c r="C33" s="47" t="s">
        <v>140</v>
      </c>
      <c r="D33" s="17" t="s">
        <v>141</v>
      </c>
      <c r="E33" s="48" t="s">
        <v>142</v>
      </c>
      <c r="F33" s="17" t="s">
        <v>142</v>
      </c>
      <c r="G33" s="17"/>
      <c r="H33" s="17"/>
      <c r="I33" s="17">
        <v>5</v>
      </c>
      <c r="J33" s="11">
        <f t="shared" si="0"/>
        <v>25</v>
      </c>
      <c r="K33" s="98" t="s">
        <v>139</v>
      </c>
      <c r="L33" s="22"/>
    </row>
    <row r="34" spans="1:12">
      <c r="A34"/>
      <c r="C34" s="18"/>
      <c r="D34" s="18"/>
      <c r="E34" s="18"/>
      <c r="F34" s="18"/>
      <c r="G34" s="18"/>
      <c r="H34" s="18"/>
      <c r="K34" s="18"/>
      <c r="L34" s="22"/>
    </row>
    <row r="35" spans="1:12">
      <c r="A35"/>
      <c r="C35" s="18"/>
      <c r="D35" s="18"/>
      <c r="E35" s="18"/>
      <c r="F35" s="18"/>
      <c r="G35" s="18"/>
      <c r="H35" s="18"/>
      <c r="K35" s="18"/>
      <c r="L35" s="22"/>
    </row>
    <row r="36" spans="1:12">
      <c r="A36"/>
      <c r="L36" s="22"/>
    </row>
    <row r="37" spans="1:12">
      <c r="A37"/>
      <c r="L37" s="22"/>
    </row>
    <row r="38" spans="1:12">
      <c r="A38"/>
      <c r="L38" s="22"/>
    </row>
    <row r="39" spans="1:12">
      <c r="A39"/>
      <c r="L39" s="22"/>
    </row>
    <row r="40" spans="1:12">
      <c r="A40"/>
      <c r="L40" s="22"/>
    </row>
    <row r="41" spans="1:12">
      <c r="A41"/>
      <c r="L41" s="22"/>
    </row>
    <row r="42" spans="1:12">
      <c r="A42"/>
      <c r="L42" s="22"/>
    </row>
    <row r="43" spans="1:12" ht="15.75" customHeight="1">
      <c r="A43"/>
      <c r="L43" s="22"/>
    </row>
    <row r="44" spans="1:12">
      <c r="A44"/>
      <c r="L44" s="22"/>
    </row>
    <row r="45" spans="1:12">
      <c r="A45"/>
      <c r="L45" s="22"/>
    </row>
    <row r="46" spans="1:12">
      <c r="A46"/>
      <c r="L46" s="22"/>
    </row>
    <row r="47" spans="1:12">
      <c r="A47"/>
      <c r="L47" s="22"/>
    </row>
    <row r="48" spans="1:12">
      <c r="A48"/>
      <c r="L48" s="22"/>
    </row>
    <row r="49" spans="11:11">
      <c r="K49" s="24"/>
    </row>
    <row r="50" spans="11:11">
      <c r="K50" s="24"/>
    </row>
  </sheetData>
  <mergeCells count="6">
    <mergeCell ref="B27:B33"/>
    <mergeCell ref="A1:K1"/>
    <mergeCell ref="B3:B12"/>
    <mergeCell ref="B13:B14"/>
    <mergeCell ref="B17:B23"/>
    <mergeCell ref="B24:B26"/>
  </mergeCells>
  <conditionalFormatting sqref="K11">
    <cfRule type="dataBar" priority="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{C74B87F2-CE14-491B-84E1-06E8048F6B06}</x14:id>
        </ext>
      </extLst>
    </cfRule>
  </conditionalFormatting>
  <conditionalFormatting sqref="K15">
    <cfRule type="dataBar" priority="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{7CA57324-CAEC-4B95-AFA1-571FAD1F065E}</x14:id>
        </ext>
      </extLst>
    </cfRule>
  </conditionalFormatting>
  <conditionalFormatting sqref="I27:J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2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{8F0627EC-9E46-490D-8337-4AFCD6A94ACA}</x14:id>
        </ext>
      </extLst>
    </cfRule>
  </conditionalFormatting>
  <conditionalFormatting sqref="I3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3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{F9379B80-DD0E-4C4F-BD4F-B563C9CC9DF4}</x14:id>
        </ext>
      </extLst>
    </cfRule>
  </conditionalFormatting>
  <conditionalFormatting sqref="I6:I10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7:K30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{FA569F89-D7CA-46CF-933E-D8C90500C260}</x14:id>
        </ext>
      </extLst>
    </cfRule>
  </conditionalFormatting>
  <conditionalFormatting sqref="I11:I26 I31 J3:J33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J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4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{7F28AD41-B31C-490A-8305-C9BDA5E3CED3}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4B87F2-CE14-491B-84E1-06E8048F6B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7CA57324-CAEC-4B95-AFA1-571FAD1F065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8F0627EC-9E46-490D-8337-4AFCD6A94AC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F9379B80-DD0E-4C4F-BD4F-B563C9CC9DF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FA569F89-D7CA-46CF-933E-D8C90500C26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K27:K30</xm:sqref>
        </x14:conditionalFormatting>
        <x14:conditionalFormatting xmlns:xm="http://schemas.microsoft.com/office/excel/2006/main">
          <x14:cfRule type="dataBar" id="{7F28AD41-B31C-490A-8305-C9BDA5E3CE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K24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2021-06-08T13:45:00Z</dcterms:created>
  <dcterms:modified xsi:type="dcterms:W3CDTF">2021-11-11T09:48:19Z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6C426FAB849F49D4ADFC871332999A05</vt:lpwstr>
  </property>
  <property fmtid="{D5CDD505-2E9C-101B-9397-08002B2CF9AE}" pid="3" name="KSOProductBuildVer">
    <vt:lpwstr>1033-11.2.0.10323</vt:lpwstr>
  </property>
</Properties>
</file>