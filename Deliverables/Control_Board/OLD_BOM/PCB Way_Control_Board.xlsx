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Control_Board\BOM\"/>
    </mc:Choice>
  </mc:AlternateContent>
  <bookViews>
    <workbookView xWindow="-105" yWindow="-105" windowWidth="23250" windowHeight="1401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6" i="1" l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" i="1"/>
</calcChain>
</file>

<file path=xl/sharedStrings.xml><?xml version="1.0" encoding="utf-8"?>
<sst xmlns="http://schemas.openxmlformats.org/spreadsheetml/2006/main" count="158" uniqueCount="130">
  <si>
    <t>S. No.</t>
  </si>
  <si>
    <t>Components</t>
  </si>
  <si>
    <t>Description</t>
  </si>
  <si>
    <t>Designator</t>
  </si>
  <si>
    <t>Footprint (Package)</t>
  </si>
  <si>
    <t>Manufacturer Part Number</t>
  </si>
  <si>
    <t>Value</t>
  </si>
  <si>
    <t>Quantity (Per Board)</t>
  </si>
  <si>
    <t>Remarks</t>
  </si>
  <si>
    <t>Capacitor</t>
  </si>
  <si>
    <t>CAP CER 1UF 100V X7S 0805</t>
  </si>
  <si>
    <t>C1, C3, C5, C26</t>
  </si>
  <si>
    <t>Cap0805</t>
  </si>
  <si>
    <t>GCM21BC72A105KE36L</t>
  </si>
  <si>
    <t>1uF</t>
  </si>
  <si>
    <t>CAP CER 0.1UF 100V X7R 0603</t>
  </si>
  <si>
    <t>Cap0603</t>
  </si>
  <si>
    <t>CC0603KRX7R0BB104</t>
  </si>
  <si>
    <t>0.1uF</t>
  </si>
  <si>
    <t>CAP CER 10UF 50V X5R 0805</t>
  </si>
  <si>
    <t>C17</t>
  </si>
  <si>
    <t>GRM21BR61H106KE43L</t>
  </si>
  <si>
    <t>10uF</t>
  </si>
  <si>
    <t>CAP CER 4.7UF 25V X5R 0603</t>
  </si>
  <si>
    <t>C18, C19, C29</t>
  </si>
  <si>
    <t>C1608X5R1E475KT000E</t>
  </si>
  <si>
    <t>4.7uF</t>
  </si>
  <si>
    <t>CAP CER 10PF 50V C0G/NP0 0603</t>
  </si>
  <si>
    <t>C27, C28, C32, C33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</si>
  <si>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</si>
  <si>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</si>
  <si>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</si>
  <si>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</si>
  <si>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</si>
  <si>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</si>
  <si>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</si>
  <si>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-----</t>
  </si>
  <si>
    <t xml:space="preserve">Inductor </t>
  </si>
  <si>
    <t>200Ω @ 100MHz 1 1A 300mΩ 0603 Ferrite Beads</t>
  </si>
  <si>
    <t>L1, L2, L3, L4, L5</t>
  </si>
  <si>
    <t>Ind 0603</t>
  </si>
  <si>
    <t>MLB1608-201P1A(f)</t>
  </si>
  <si>
    <t>IND SMD 10uH 500mA 0805</t>
  </si>
  <si>
    <t>L6</t>
  </si>
  <si>
    <t>Ind0805</t>
  </si>
  <si>
    <t>MGFL2012F100MT-LF</t>
  </si>
  <si>
    <t>Resistor</t>
  </si>
  <si>
    <t>RES SMD 10K OHM 5% 1/10W 0603</t>
  </si>
  <si>
    <t>R1, R2, R3, R4, R5, R9, R14, R15, R16, R23, R41, R42</t>
  </si>
  <si>
    <t>Res0603</t>
  </si>
  <si>
    <t>AC0603JR-0710KL</t>
  </si>
  <si>
    <t>10K</t>
  </si>
  <si>
    <t>RES SMD 0603 33 Ohm 1% 1/10W</t>
  </si>
  <si>
    <t>R6, R11, R12</t>
  </si>
  <si>
    <t>RC0603FR-0733RL</t>
  </si>
  <si>
    <t>33R</t>
  </si>
  <si>
    <t>RES  SMD 330R 100 mW 0603</t>
  </si>
  <si>
    <t>R7</t>
  </si>
  <si>
    <t>RC0603JR-07330RL</t>
  </si>
  <si>
    <t>330R</t>
  </si>
  <si>
    <t>RES SMD 1K OHM 1% 1/10W 0603</t>
  </si>
  <si>
    <t>R8, R10, R40,R17</t>
  </si>
  <si>
    <t>RC0603FR-071KL</t>
  </si>
  <si>
    <t>1K</t>
  </si>
  <si>
    <t>RES SMD 100 OHM 1% 1/10W 0603</t>
  </si>
  <si>
    <t>R18, R19</t>
  </si>
  <si>
    <t>RC0603FR-07100RL</t>
  </si>
  <si>
    <t>100R</t>
  </si>
  <si>
    <t>RES SMD 470 OHM 1% 1/10W 0603</t>
  </si>
  <si>
    <t>R20</t>
  </si>
  <si>
    <t>RC0603FR-07470RL</t>
  </si>
  <si>
    <t>470R</t>
  </si>
  <si>
    <t>RES SMD 12.1K OHM 1/10W 0603</t>
  </si>
  <si>
    <t>R13</t>
  </si>
  <si>
    <t>RT0603CRD0712K1L</t>
  </si>
  <si>
    <t>12.1K</t>
  </si>
  <si>
    <t>Switch</t>
  </si>
  <si>
    <t>SWITCH TACTILE SPST-NO 0.05A 12V</t>
  </si>
  <si>
    <t>SW1</t>
  </si>
  <si>
    <t>Custom</t>
  </si>
  <si>
    <t>B3U-1000P</t>
  </si>
  <si>
    <t>Ics</t>
  </si>
  <si>
    <t>IC ETHERCAT SLAVE CONTROLLER</t>
  </si>
  <si>
    <t>U1</t>
  </si>
  <si>
    <t>LAN9255/ZMX019</t>
  </si>
  <si>
    <t>IC EEPROM 256KBIT I2C 1MHZ 8SOIC</t>
  </si>
  <si>
    <t>U2</t>
  </si>
  <si>
    <t>8-SOIC</t>
  </si>
  <si>
    <t>CAT24C256WI-GT3</t>
  </si>
  <si>
    <t>MAGNETIC ANGLE SENSOR</t>
  </si>
  <si>
    <t>U4</t>
  </si>
  <si>
    <t>TLE5012BE5000FUMA1</t>
  </si>
  <si>
    <t>IC TRNSLTR BIDIRECTIONAL US8</t>
  </si>
  <si>
    <t>U3</t>
  </si>
  <si>
    <t>8-VSSOP</t>
  </si>
  <si>
    <t>TXB0102DCUT</t>
  </si>
  <si>
    <t>Crystal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</si>
  <si>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</si>
  <si>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</si>
  <si>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</si>
  <si>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</si>
  <si>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</si>
  <si>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</si>
  <si>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Connector</t>
  </si>
  <si>
    <t>HDR1X5 SMD</t>
  </si>
  <si>
    <t>PH254P1x12SMRA-100</t>
  </si>
  <si>
    <t>J3</t>
  </si>
  <si>
    <t>Solder Bridge ON</t>
  </si>
  <si>
    <t>SB1, SB4, SB5, SB6, SB7</t>
  </si>
  <si>
    <t>Solder Bridge</t>
  </si>
  <si>
    <t>DO NOT Mount</t>
  </si>
  <si>
    <t>Test Point ON</t>
  </si>
  <si>
    <t>P1,P5,P6</t>
  </si>
  <si>
    <t>TEST POINT</t>
  </si>
  <si>
    <t>Quantity 5</t>
  </si>
  <si>
    <t>C2, C4, C6, C7, C8, C9, C10, C11, C12, C13, C14, C15, C16, C20, C21, C22, C23, C24, C25, C30, C31, C34, C35, C41</t>
  </si>
  <si>
    <t>MOQ=10</t>
  </si>
  <si>
    <t>--------</t>
  </si>
  <si>
    <t>----</t>
  </si>
  <si>
    <t>Bill of Material (BOM) for Controller Board</t>
  </si>
  <si>
    <t xml:space="preserve">128-TQFP (14x14)
</t>
  </si>
  <si>
    <t>5 POS 2.54mm Pin Header Male single row Right Angle SMD</t>
  </si>
  <si>
    <t>6 POS 2.54mm Pin Header Male single row Right Angle SMD</t>
  </si>
  <si>
    <t>J1</t>
  </si>
  <si>
    <t>HDR1X6 SMD</t>
  </si>
  <si>
    <t>J2</t>
  </si>
  <si>
    <t>PH254P1x12SMRA-100_1</t>
  </si>
  <si>
    <t xml:space="preserve">Ye part Same ha or Quantity b Zayada ha is lye merge kr dia ha isko  </t>
  </si>
  <si>
    <t xml:space="preserve">CONN HEADER SMD 26POS 2.54MM
</t>
  </si>
  <si>
    <t xml:space="preserve">95278-101A26LF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</si>
</sst>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_-[$$-409]* #,##0.00_ ;_-[$$-409]* \-#,##0.00\ ;_-[$$-409]* &quot;-&quot;??_ ;_-@_ "/>
  </numFmts>
  <fonts count="14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222222"/>
      <name val="Arial"/>
      <charset val="134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trike/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7" fillId="5" borderId="0" xfId="0" applyFont="1" applyFill="1" applyAlignment="1">
      <alignment horizontal="left" vertical="top"/>
    </xf>
    <xf numFmtId="0" fontId="5" fillId="0" borderId="0" xfId="0" applyFont="1" applyFill="1" applyAlignment="1"/>
    <xf numFmtId="0" fontId="0" fillId="0" borderId="0" xfId="0" applyFont="1" applyFill="1" applyAlignment="1"/>
    <xf numFmtId="0" fontId="12" fillId="4" borderId="11" xfId="0" applyFont="1" applyFill="1" applyBorder="1" applyAlignment="1">
      <alignment horizontal="center" vertical="center"/>
    </xf>
    <xf numFmtId="0" fontId="8" fillId="7" borderId="11" xfId="0" quotePrefix="1" applyFont="1" applyFill="1" applyBorder="1" applyAlignment="1">
      <alignment horizontal="center" vertical="center"/>
    </xf>
    <xf numFmtId="0" fontId="9" fillId="0" borderId="8" xfId="0" quotePrefix="1" applyFont="1" applyFill="1" applyBorder="1" applyAlignment="1">
      <alignment horizontal="center" vertical="center"/>
    </xf>
    <xf numFmtId="0" fontId="9" fillId="0" borderId="11" xfId="0" quotePrefix="1" applyFont="1" applyFill="1" applyBorder="1" applyAlignment="1">
      <alignment horizontal="center" vertical="center"/>
    </xf>
    <xf numFmtId="0" fontId="11" fillId="4" borderId="11" xfId="0" quotePrefix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11" fillId="4" borderId="17" xfId="0" quotePrefix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8" fillId="7" borderId="14" xfId="0" quotePrefix="1" applyFont="1" applyFill="1" applyBorder="1" applyAlignment="1">
      <alignment horizontal="center" vertical="center"/>
    </xf>
    <xf numFmtId="0" fontId="9" fillId="0" borderId="7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0" xfId="0" quotePrefix="1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0" fontId="9" fillId="4" borderId="11" xfId="0" quotePrefix="1" applyFont="1" applyFill="1" applyBorder="1" applyAlignment="1">
      <alignment horizontal="center" vertical="center"/>
    </xf>
    <xf numFmtId="0" fontId="9" fillId="0" borderId="13" xfId="0" quotePrefix="1" applyFont="1" applyFill="1" applyBorder="1" applyAlignment="1">
      <alignment horizontal="left" vertical="center"/>
    </xf>
    <xf numFmtId="0" fontId="9" fillId="0" borderId="14" xfId="0" quotePrefix="1" applyFont="1" applyFill="1" applyBorder="1" applyAlignment="1">
      <alignment horizontal="center" vertical="center"/>
    </xf>
    <xf numFmtId="0" fontId="11" fillId="0" borderId="14" xfId="0" quotePrefix="1" applyFont="1" applyFill="1" applyBorder="1" applyAlignment="1">
      <alignment horizontal="center" vertical="center"/>
    </xf>
    <xf numFmtId="0" fontId="9" fillId="4" borderId="14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20" xfId="0" quotePrefix="1" applyFont="1" applyFill="1" applyBorder="1" applyAlignment="1">
      <alignment horizontal="left" vertical="center"/>
    </xf>
    <xf numFmtId="0" fontId="9" fillId="0" borderId="17" xfId="0" quotePrefix="1" applyFont="1" applyFill="1" applyBorder="1" applyAlignment="1">
      <alignment horizontal="center" vertical="center"/>
    </xf>
    <xf numFmtId="0" fontId="11" fillId="0" borderId="17" xfId="0" quotePrefix="1" applyFont="1" applyFill="1" applyBorder="1" applyAlignment="1">
      <alignment horizontal="center" vertical="center"/>
    </xf>
    <xf numFmtId="0" fontId="9" fillId="4" borderId="17" xfId="0" quotePrefix="1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4" borderId="8" xfId="0" quotePrefix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20" xfId="0" quotePrefix="1" applyFont="1" applyFill="1" applyBorder="1" applyAlignment="1">
      <alignment horizontal="left" vertical="center"/>
    </xf>
    <xf numFmtId="0" fontId="9" fillId="4" borderId="10" xfId="0" quotePrefix="1" applyFont="1" applyFill="1" applyBorder="1" applyAlignment="1">
      <alignment horizontal="left" vertical="center"/>
    </xf>
    <xf numFmtId="0" fontId="8" fillId="7" borderId="10" xfId="0" quotePrefix="1" applyFont="1" applyFill="1" applyBorder="1" applyAlignment="1">
      <alignment horizontal="left" vertical="center"/>
    </xf>
    <xf numFmtId="0" fontId="8" fillId="7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67" fontId="13" fillId="7" borderId="11" xfId="0" applyNumberFormat="1" applyFont="1" applyFill="1" applyBorder="1" applyAlignment="1">
      <alignment horizontal="center" vertical="center"/>
    </xf>
    <xf numFmtId="0" fontId="8" fillId="7" borderId="13" xfId="0" quotePrefix="1" applyFont="1" applyFill="1" applyBorder="1" applyAlignment="1">
      <alignment horizontal="left" vertical="center"/>
    </xf>
    <xf numFmtId="0" fontId="8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67" fontId="13" fillId="7" borderId="14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6" borderId="7" xfId="0" quotePrefix="1" applyFont="1" applyFill="1" applyBorder="1" applyAlignment="1">
      <alignment horizontal="left" vertical="center"/>
    </xf>
    <xf numFmtId="0" fontId="9" fillId="6" borderId="8" xfId="0" quotePrefix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167" fontId="13" fillId="4" borderId="14" xfId="0" applyNumberFormat="1" applyFont="1" applyFill="1" applyBorder="1" applyAlignment="1">
      <alignment horizontal="center" vertical="center"/>
    </xf>
    <xf numFmtId="0" fontId="11" fillId="6" borderId="8" xfId="0" quotePrefix="1" applyFont="1" applyFill="1" applyBorder="1" applyAlignment="1">
      <alignment horizontal="center" vertical="center"/>
    </xf>
    <xf numFmtId="0" fontId="9" fillId="6" borderId="11" xfId="0" quotePrefix="1" applyFont="1" applyFill="1" applyBorder="1" applyAlignment="1">
      <alignment horizontal="center" vertical="center"/>
    </xf>
    <xf numFmtId="0" fontId="11" fillId="6" borderId="11" xfId="0" quotePrefix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quotePrefix="1" applyFont="1" applyFill="1" applyBorder="1" applyAlignment="1">
      <alignment horizontal="center" vertical="center"/>
    </xf>
    <xf numFmtId="0" fontId="11" fillId="6" borderId="14" xfId="0" quotePrefix="1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6" xfId="0" quotePrefix="1" applyFont="1" applyFill="1" applyBorder="1" applyAlignment="1">
      <alignment horizontal="center" vertical="center"/>
    </xf>
    <xf numFmtId="0" fontId="9" fillId="6" borderId="10" xfId="0" quotePrefix="1" applyFont="1" applyFill="1" applyBorder="1" applyAlignment="1">
      <alignment horizontal="left" vertical="center"/>
    </xf>
    <xf numFmtId="0" fontId="9" fillId="6" borderId="13" xfId="0" quotePrefix="1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8" xfId="0" quotePrefix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M10" sqref="M10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1" customWidth="1"/>
    <col min="4" max="4" width="33.140625" style="1" customWidth="1"/>
    <col min="5" max="5" width="21" style="1" customWidth="1"/>
    <col min="6" max="6" width="33.5703125" style="1" bestFit="1" customWidth="1"/>
    <col min="7" max="7" width="6.42578125" style="1" bestFit="1" customWidth="1"/>
    <col min="8" max="8" width="21.85546875" style="1" customWidth="1"/>
    <col min="9" max="9" width="14.140625" style="1" customWidth="1"/>
    <col min="10" max="10" width="23.7109375" style="1" bestFit="1" customWidth="1"/>
    <col min="11" max="16384" width="9" style="1"/>
  </cols>
  <sheetData>
    <row r="1" spans="1:11" ht="16.5" thickBot="1">
      <c r="A1" s="76" t="s">
        <v>119</v>
      </c>
      <c r="B1" s="77"/>
      <c r="C1" s="77"/>
      <c r="D1" s="77"/>
      <c r="E1" s="77"/>
      <c r="F1" s="77"/>
      <c r="G1" s="77"/>
      <c r="H1" s="77"/>
      <c r="I1" s="77"/>
      <c r="J1" s="77"/>
    </row>
    <row r="2" spans="1:11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114</v>
      </c>
      <c r="J2" s="5" t="s">
        <v>8</v>
      </c>
    </row>
    <row r="3" spans="1:11" ht="15.75" thickBot="1">
      <c r="A3" s="6">
        <v>1</v>
      </c>
      <c r="B3" s="78" t="s">
        <v>9</v>
      </c>
      <c r="C3" s="22" t="s">
        <v>10</v>
      </c>
      <c r="D3" s="38" t="s">
        <v>11</v>
      </c>
      <c r="E3" s="15" t="s">
        <v>12</v>
      </c>
      <c r="F3" s="15" t="s">
        <v>13</v>
      </c>
      <c r="G3" s="15" t="s">
        <v>14</v>
      </c>
      <c r="H3" s="24">
        <v>4</v>
      </c>
      <c r="I3" s="24">
        <f>H3*5</f>
        <v>20</v>
      </c>
      <c r="J3" s="24"/>
    </row>
    <row r="4" spans="1:11" ht="39" thickBot="1">
      <c r="A4" s="6">
        <v>2</v>
      </c>
      <c r="B4" s="79"/>
      <c r="C4" s="25" t="s">
        <v>15</v>
      </c>
      <c r="D4" s="51" t="s">
        <v>115</v>
      </c>
      <c r="E4" s="16" t="s">
        <v>16</v>
      </c>
      <c r="F4" s="16" t="s">
        <v>17</v>
      </c>
      <c r="G4" s="16" t="s">
        <v>18</v>
      </c>
      <c r="H4" s="26">
        <v>24</v>
      </c>
      <c r="I4" s="26">
        <f t="shared" ref="I4:I29" si="0">H4*5</f>
        <v>120</v>
      </c>
      <c r="J4" s="26"/>
    </row>
    <row r="5" spans="1:11" ht="15.75" thickBot="1">
      <c r="A5" s="6">
        <v>3</v>
      </c>
      <c r="B5" s="79"/>
      <c r="C5" s="25" t="s">
        <v>19</v>
      </c>
      <c r="D5" s="27" t="s">
        <v>20</v>
      </c>
      <c r="E5" s="16" t="s">
        <v>12</v>
      </c>
      <c r="F5" s="27" t="s">
        <v>21</v>
      </c>
      <c r="G5" s="16" t="s">
        <v>22</v>
      </c>
      <c r="H5" s="26">
        <v>1</v>
      </c>
      <c r="I5" s="26">
        <f t="shared" si="0"/>
        <v>5</v>
      </c>
      <c r="J5" s="26"/>
      <c r="K5" s="12"/>
    </row>
    <row r="6" spans="1:11" ht="15.75" thickBot="1">
      <c r="A6" s="6">
        <v>4</v>
      </c>
      <c r="B6" s="79"/>
      <c r="C6" s="25" t="s">
        <v>23</v>
      </c>
      <c r="D6" s="27" t="s">
        <v>24</v>
      </c>
      <c r="E6" s="16" t="s">
        <v>16</v>
      </c>
      <c r="F6" s="27" t="s">
        <v>25</v>
      </c>
      <c r="G6" s="16" t="s">
        <v>26</v>
      </c>
      <c r="H6" s="26">
        <v>3</v>
      </c>
      <c r="I6" s="26">
        <f t="shared" si="0"/>
        <v>15</v>
      </c>
      <c r="J6" s="26"/>
      <c r="K6" s="12"/>
    </row>
    <row r="7" spans="1:11" ht="15.75" thickBot="1">
      <c r="A7" s="6">
        <v>5</v>
      </c>
      <c r="B7" s="80"/>
      <c r="C7" s="28" t="s">
        <v>27</v>
      </c>
      <c r="D7" s="31" t="s">
        <v>28</v>
      </c>
      <c r="E7" s="29" t="s">
        <v>16</v>
      </c>
      <c r="F7" s="31" t="s">
        <v>29</v>
      </c>
      <c r="G7" s="29" t="s">
        <v>30</v>
      </c>
      <c r="H7" s="32">
        <v>4</v>
      </c>
      <c r="I7" s="32">
        <f t="shared" si="0"/>
        <v>20</v>
      </c>
      <c r="J7" s="20"/>
      <c r="K7" s="12"/>
    </row>
    <row r="8" spans="1:11" ht="15.75" thickBot="1">
      <c r="A8" s="6">
        <v>6</v>
      </c>
      <c r="B8" s="18" t="s">
        <v>31</v>
      </c>
      <c r="C8" s="33" t="s">
        <v>32</v>
      </c>
      <c r="D8" s="36" t="s">
        <v>33</v>
      </c>
      <c r="E8" s="34" t="s">
        <v>34</v>
      </c>
      <c r="F8" s="34" t="s">
        <v>35</v>
      </c>
      <c r="G8" s="35" t="s">
        <v>36</v>
      </c>
      <c r="H8" s="37">
        <v>3</v>
      </c>
      <c r="I8" s="37">
        <f t="shared" si="0"/>
        <v>15</v>
      </c>
      <c r="J8" s="37"/>
      <c r="K8" s="12"/>
    </row>
    <row r="9" spans="1:11" ht="15.75" thickBot="1">
      <c r="A9" s="6">
        <v>7</v>
      </c>
      <c r="B9" s="78" t="s">
        <v>37</v>
      </c>
      <c r="C9" s="22" t="s">
        <v>38</v>
      </c>
      <c r="D9" s="38" t="s">
        <v>39</v>
      </c>
      <c r="E9" s="15" t="s">
        <v>40</v>
      </c>
      <c r="F9" s="15" t="s">
        <v>41</v>
      </c>
      <c r="G9" s="23" t="s">
        <v>36</v>
      </c>
      <c r="H9" s="24">
        <v>5</v>
      </c>
      <c r="I9" s="24">
        <f t="shared" si="0"/>
        <v>25</v>
      </c>
      <c r="J9" s="24"/>
      <c r="K9" s="12"/>
    </row>
    <row r="10" spans="1:11" ht="15.75" thickBot="1">
      <c r="A10" s="6">
        <v>8</v>
      </c>
      <c r="B10" s="80"/>
      <c r="C10" s="28" t="s">
        <v>42</v>
      </c>
      <c r="D10" s="31" t="s">
        <v>43</v>
      </c>
      <c r="E10" s="29" t="s">
        <v>44</v>
      </c>
      <c r="F10" s="29" t="s">
        <v>45</v>
      </c>
      <c r="G10" s="30" t="s">
        <v>36</v>
      </c>
      <c r="H10" s="32">
        <v>1</v>
      </c>
      <c r="I10" s="32">
        <f t="shared" si="0"/>
        <v>5</v>
      </c>
      <c r="J10" s="32"/>
      <c r="K10" s="12"/>
    </row>
    <row r="11" spans="1:11" ht="26.25" thickBot="1">
      <c r="A11" s="6">
        <v>9</v>
      </c>
      <c r="B11" s="78" t="s">
        <v>46</v>
      </c>
      <c r="C11" s="22" t="s">
        <v>47</v>
      </c>
      <c r="D11" s="52" t="s">
        <v>48</v>
      </c>
      <c r="E11" s="15" t="s">
        <v>49</v>
      </c>
      <c r="F11" s="15" t="s">
        <v>50</v>
      </c>
      <c r="G11" s="15" t="s">
        <v>51</v>
      </c>
      <c r="H11" s="24">
        <v>12</v>
      </c>
      <c r="I11" s="24">
        <f t="shared" si="0"/>
        <v>60</v>
      </c>
      <c r="J11" s="24"/>
      <c r="K11" s="12"/>
    </row>
    <row r="12" spans="1:11" ht="15.75" thickBot="1">
      <c r="A12" s="6">
        <v>10</v>
      </c>
      <c r="B12" s="79"/>
      <c r="C12" s="25" t="s">
        <v>52</v>
      </c>
      <c r="D12" s="27" t="s">
        <v>53</v>
      </c>
      <c r="E12" s="16" t="s">
        <v>49</v>
      </c>
      <c r="F12" s="16" t="s">
        <v>54</v>
      </c>
      <c r="G12" s="16" t="s">
        <v>55</v>
      </c>
      <c r="H12" s="26">
        <v>3</v>
      </c>
      <c r="I12" s="26">
        <f t="shared" si="0"/>
        <v>15</v>
      </c>
      <c r="J12" s="26"/>
      <c r="K12" s="12"/>
    </row>
    <row r="13" spans="1:11" ht="15.75" thickBot="1">
      <c r="A13" s="6">
        <v>11</v>
      </c>
      <c r="B13" s="79"/>
      <c r="C13" s="25" t="s">
        <v>56</v>
      </c>
      <c r="D13" s="27" t="s">
        <v>57</v>
      </c>
      <c r="E13" s="16" t="s">
        <v>49</v>
      </c>
      <c r="F13" s="16" t="s">
        <v>58</v>
      </c>
      <c r="G13" s="16" t="s">
        <v>59</v>
      </c>
      <c r="H13" s="26">
        <v>1</v>
      </c>
      <c r="I13" s="26">
        <f t="shared" si="0"/>
        <v>5</v>
      </c>
      <c r="J13" s="40"/>
      <c r="K13" s="12"/>
    </row>
    <row r="14" spans="1:11" ht="15.75" thickBot="1">
      <c r="A14" s="6">
        <v>12</v>
      </c>
      <c r="B14" s="79"/>
      <c r="C14" s="25" t="s">
        <v>60</v>
      </c>
      <c r="D14" s="27" t="s">
        <v>61</v>
      </c>
      <c r="E14" s="16" t="s">
        <v>49</v>
      </c>
      <c r="F14" s="16" t="s">
        <v>62</v>
      </c>
      <c r="G14" s="16" t="s">
        <v>63</v>
      </c>
      <c r="H14" s="26">
        <v>4</v>
      </c>
      <c r="I14" s="26">
        <f t="shared" si="0"/>
        <v>20</v>
      </c>
      <c r="J14" s="26"/>
      <c r="K14" s="12"/>
    </row>
    <row r="15" spans="1:11" ht="15.75" thickBot="1">
      <c r="A15" s="6">
        <v>13</v>
      </c>
      <c r="B15" s="81"/>
      <c r="C15" s="53" t="s">
        <v>64</v>
      </c>
      <c r="D15" s="51" t="s">
        <v>65</v>
      </c>
      <c r="E15" s="54" t="s">
        <v>49</v>
      </c>
      <c r="F15" s="54" t="s">
        <v>66</v>
      </c>
      <c r="G15" s="54" t="s">
        <v>67</v>
      </c>
      <c r="H15" s="54">
        <v>2</v>
      </c>
      <c r="I15" s="26">
        <f t="shared" si="0"/>
        <v>10</v>
      </c>
      <c r="J15" s="26"/>
      <c r="K15" s="12"/>
    </row>
    <row r="16" spans="1:11" ht="15.75" thickBot="1">
      <c r="A16" s="6">
        <v>14</v>
      </c>
      <c r="B16" s="81"/>
      <c r="C16" s="53" t="s">
        <v>68</v>
      </c>
      <c r="D16" s="51" t="s">
        <v>69</v>
      </c>
      <c r="E16" s="54" t="s">
        <v>49</v>
      </c>
      <c r="F16" s="54" t="s">
        <v>70</v>
      </c>
      <c r="G16" s="54" t="s">
        <v>71</v>
      </c>
      <c r="H16" s="54">
        <v>1</v>
      </c>
      <c r="I16" s="26">
        <f t="shared" si="0"/>
        <v>5</v>
      </c>
      <c r="J16" s="26"/>
      <c r="K16" s="12"/>
    </row>
    <row r="17" spans="1:11" ht="15.75" thickBot="1">
      <c r="A17" s="6">
        <v>15</v>
      </c>
      <c r="B17" s="80"/>
      <c r="C17" s="28" t="s">
        <v>72</v>
      </c>
      <c r="D17" s="31" t="s">
        <v>73</v>
      </c>
      <c r="E17" s="29" t="s">
        <v>49</v>
      </c>
      <c r="F17" s="29" t="s">
        <v>74</v>
      </c>
      <c r="G17" s="29" t="s">
        <v>75</v>
      </c>
      <c r="H17" s="32">
        <v>1</v>
      </c>
      <c r="I17" s="32">
        <f t="shared" si="0"/>
        <v>5</v>
      </c>
      <c r="J17" s="32"/>
      <c r="K17" s="12"/>
    </row>
    <row r="18" spans="1:11" ht="15.75" thickBot="1">
      <c r="A18" s="6">
        <v>16</v>
      </c>
      <c r="B18" s="18" t="s">
        <v>76</v>
      </c>
      <c r="C18" s="41" t="s">
        <v>77</v>
      </c>
      <c r="D18" s="36" t="s">
        <v>78</v>
      </c>
      <c r="E18" s="36" t="s">
        <v>79</v>
      </c>
      <c r="F18" s="36" t="s">
        <v>80</v>
      </c>
      <c r="G18" s="19" t="s">
        <v>36</v>
      </c>
      <c r="H18" s="37">
        <v>1</v>
      </c>
      <c r="I18" s="37">
        <f t="shared" si="0"/>
        <v>5</v>
      </c>
      <c r="J18" s="37"/>
      <c r="K18" s="12"/>
    </row>
    <row r="19" spans="1:11" ht="15.75" thickBot="1">
      <c r="A19" s="6">
        <v>17</v>
      </c>
      <c r="B19" s="78" t="s">
        <v>81</v>
      </c>
      <c r="C19" s="55" t="s">
        <v>82</v>
      </c>
      <c r="D19" s="56" t="s">
        <v>83</v>
      </c>
      <c r="E19" s="57" t="s">
        <v>120</v>
      </c>
      <c r="F19" s="56" t="s">
        <v>84</v>
      </c>
      <c r="G19" s="61" t="s">
        <v>36</v>
      </c>
      <c r="H19" s="57">
        <v>1</v>
      </c>
      <c r="I19" s="57">
        <f t="shared" si="0"/>
        <v>5</v>
      </c>
      <c r="J19" s="39"/>
      <c r="K19" s="12"/>
    </row>
    <row r="20" spans="1:11" ht="15.75" thickBot="1">
      <c r="A20" s="6">
        <v>18</v>
      </c>
      <c r="B20" s="79"/>
      <c r="C20" s="42" t="s">
        <v>85</v>
      </c>
      <c r="D20" s="27" t="s">
        <v>86</v>
      </c>
      <c r="E20" s="27" t="s">
        <v>87</v>
      </c>
      <c r="F20" s="27" t="s">
        <v>88</v>
      </c>
      <c r="G20" s="17" t="s">
        <v>36</v>
      </c>
      <c r="H20" s="26">
        <v>1</v>
      </c>
      <c r="I20" s="26">
        <f t="shared" si="0"/>
        <v>5</v>
      </c>
      <c r="J20" s="40"/>
      <c r="K20" s="12"/>
    </row>
    <row r="21" spans="1:11" ht="15.75" thickBot="1">
      <c r="A21" s="6">
        <v>19</v>
      </c>
      <c r="B21" s="79"/>
      <c r="C21" s="69" t="s">
        <v>89</v>
      </c>
      <c r="D21" s="62" t="s">
        <v>90</v>
      </c>
      <c r="E21" s="62" t="s">
        <v>87</v>
      </c>
      <c r="F21" s="62" t="s">
        <v>91</v>
      </c>
      <c r="G21" s="63" t="s">
        <v>36</v>
      </c>
      <c r="H21" s="64">
        <v>1</v>
      </c>
      <c r="I21" s="64">
        <f t="shared" si="0"/>
        <v>5</v>
      </c>
      <c r="J21" s="13" t="s">
        <v>116</v>
      </c>
      <c r="K21" s="12"/>
    </row>
    <row r="22" spans="1:11" ht="15.75" thickBot="1">
      <c r="A22" s="6">
        <v>20</v>
      </c>
      <c r="B22" s="80"/>
      <c r="C22" s="70" t="s">
        <v>92</v>
      </c>
      <c r="D22" s="65" t="s">
        <v>93</v>
      </c>
      <c r="E22" s="65" t="s">
        <v>94</v>
      </c>
      <c r="F22" s="65" t="s">
        <v>95</v>
      </c>
      <c r="G22" s="66" t="s">
        <v>36</v>
      </c>
      <c r="H22" s="67">
        <v>1</v>
      </c>
      <c r="I22" s="67">
        <f t="shared" si="0"/>
        <v>5</v>
      </c>
      <c r="J22" s="20" t="s">
        <v>116</v>
      </c>
      <c r="K22" s="12"/>
    </row>
    <row r="23" spans="1:11" ht="15.75" thickBot="1">
      <c r="A23" s="6">
        <v>21</v>
      </c>
      <c r="B23" s="78" t="s">
        <v>96</v>
      </c>
      <c r="C23" s="55" t="s">
        <v>97</v>
      </c>
      <c r="D23" s="56" t="s">
        <v>98</v>
      </c>
      <c r="E23" s="56" t="s">
        <v>79</v>
      </c>
      <c r="F23" s="56" t="s">
        <v>99</v>
      </c>
      <c r="G23" s="58"/>
      <c r="H23" s="57">
        <v>1</v>
      </c>
      <c r="I23" s="24">
        <f t="shared" si="0"/>
        <v>5</v>
      </c>
      <c r="J23" s="59"/>
      <c r="K23" s="12"/>
    </row>
    <row r="24" spans="1:11" ht="15.75" thickBot="1">
      <c r="A24" s="6">
        <v>22</v>
      </c>
      <c r="B24" s="80"/>
      <c r="C24" s="70" t="s">
        <v>100</v>
      </c>
      <c r="D24" s="65" t="s">
        <v>101</v>
      </c>
      <c r="E24" s="65" t="s">
        <v>79</v>
      </c>
      <c r="F24" s="65" t="s">
        <v>102</v>
      </c>
      <c r="G24" s="65" t="s">
        <v>118</v>
      </c>
      <c r="H24" s="67">
        <v>1</v>
      </c>
      <c r="I24" s="67">
        <f t="shared" si="0"/>
        <v>5</v>
      </c>
      <c r="J24" s="60"/>
      <c r="K24" s="12"/>
    </row>
    <row r="25" spans="1:11" ht="39" customHeight="1" thickBot="1">
      <c r="A25" s="6">
        <v>23</v>
      </c>
      <c r="B25" s="82" t="s">
        <v>103</v>
      </c>
      <c r="C25" s="72" t="s">
        <v>121</v>
      </c>
      <c r="D25" s="68" t="s">
        <v>123</v>
      </c>
      <c r="E25" s="68" t="s">
        <v>104</v>
      </c>
      <c r="F25" s="68" t="s">
        <v>105</v>
      </c>
      <c r="G25" s="68" t="s">
        <v>118</v>
      </c>
      <c r="H25" s="71">
        <v>2</v>
      </c>
      <c r="I25" s="71">
        <f t="shared" si="0"/>
        <v>10</v>
      </c>
      <c r="J25" s="74" t="s">
        <v>127</v>
      </c>
      <c r="K25" s="12"/>
    </row>
    <row r="26" spans="1:11" ht="15.75" thickBot="1">
      <c r="A26" s="6">
        <v>24</v>
      </c>
      <c r="B26" s="82"/>
      <c r="C26" s="69" t="s">
        <v>122</v>
      </c>
      <c r="D26" s="68" t="s">
        <v>125</v>
      </c>
      <c r="E26" s="62" t="s">
        <v>124</v>
      </c>
      <c r="F26" s="62" t="s">
        <v>126</v>
      </c>
      <c r="G26" s="68" t="s">
        <v>118</v>
      </c>
      <c r="H26" s="71">
        <v>1</v>
      </c>
      <c r="I26" s="71">
        <f t="shared" si="0"/>
        <v>5</v>
      </c>
      <c r="J26" s="75"/>
      <c r="K26" s="12"/>
    </row>
    <row r="27" spans="1:11" ht="15.75" thickBot="1">
      <c r="A27" s="6">
        <v>25</v>
      </c>
      <c r="B27" s="79"/>
      <c r="C27" s="69" t="s">
        <v>128</v>
      </c>
      <c r="D27" s="62" t="s">
        <v>106</v>
      </c>
      <c r="E27" s="62" t="s">
        <v>79</v>
      </c>
      <c r="F27" s="62" t="s">
        <v>129</v>
      </c>
      <c r="G27" s="62" t="s">
        <v>118</v>
      </c>
      <c r="H27" s="64">
        <v>1</v>
      </c>
      <c r="I27" s="64">
        <f t="shared" si="0"/>
        <v>5</v>
      </c>
      <c r="J27" s="40"/>
      <c r="K27" s="12"/>
    </row>
    <row r="28" spans="1:11" ht="15.75" thickBot="1">
      <c r="A28" s="6">
        <v>26</v>
      </c>
      <c r="B28" s="79"/>
      <c r="C28" s="43" t="s">
        <v>107</v>
      </c>
      <c r="D28" s="14" t="s">
        <v>108</v>
      </c>
      <c r="E28" s="14" t="s">
        <v>109</v>
      </c>
      <c r="F28" s="44" t="s">
        <v>109</v>
      </c>
      <c r="G28" s="14" t="s">
        <v>117</v>
      </c>
      <c r="H28" s="45">
        <v>5</v>
      </c>
      <c r="I28" s="26">
        <f t="shared" si="0"/>
        <v>25</v>
      </c>
      <c r="J28" s="46" t="s">
        <v>110</v>
      </c>
      <c r="K28" s="12"/>
    </row>
    <row r="29" spans="1:11" ht="15.75" thickBot="1">
      <c r="A29" s="73">
        <v>27</v>
      </c>
      <c r="B29" s="80"/>
      <c r="C29" s="47" t="s">
        <v>111</v>
      </c>
      <c r="D29" s="48" t="s">
        <v>112</v>
      </c>
      <c r="E29" s="21" t="s">
        <v>113</v>
      </c>
      <c r="F29" s="48" t="s">
        <v>113</v>
      </c>
      <c r="G29" s="21" t="s">
        <v>117</v>
      </c>
      <c r="H29" s="49">
        <v>3</v>
      </c>
      <c r="I29" s="32">
        <f t="shared" si="0"/>
        <v>15</v>
      </c>
      <c r="J29" s="50" t="s">
        <v>110</v>
      </c>
      <c r="K29" s="12"/>
    </row>
    <row r="30" spans="1:11">
      <c r="A30" s="1"/>
      <c r="C30" s="7"/>
      <c r="D30" s="8"/>
      <c r="E30" s="7"/>
      <c r="G30" s="7"/>
      <c r="J30" s="7"/>
      <c r="K30" s="12"/>
    </row>
    <row r="31" spans="1:11">
      <c r="A31" s="1"/>
      <c r="J31" s="7"/>
      <c r="K31" s="12"/>
    </row>
    <row r="32" spans="1:11">
      <c r="A32" s="1"/>
      <c r="K32" s="12"/>
    </row>
    <row r="33" spans="1:11">
      <c r="A33" s="1"/>
      <c r="D33" s="9"/>
      <c r="K33" s="12"/>
    </row>
    <row r="34" spans="1:11">
      <c r="A34" s="1"/>
      <c r="C34" s="10"/>
      <c r="D34" s="9"/>
      <c r="K34" s="12"/>
    </row>
    <row r="35" spans="1:11">
      <c r="A35" s="1"/>
      <c r="K35" s="12"/>
    </row>
    <row r="36" spans="1:11">
      <c r="A36" s="1"/>
      <c r="K36" s="12"/>
    </row>
    <row r="37" spans="1:11">
      <c r="A37" s="1"/>
      <c r="K37" s="12"/>
    </row>
    <row r="38" spans="1:11">
      <c r="A38" s="1"/>
      <c r="K38" s="12"/>
    </row>
    <row r="39" spans="1:11" ht="15.75" customHeight="1">
      <c r="A39" s="1"/>
      <c r="K39" s="12"/>
    </row>
    <row r="40" spans="1:11">
      <c r="A40" s="1"/>
      <c r="K40" s="12"/>
    </row>
    <row r="41" spans="1:11">
      <c r="A41" s="1"/>
      <c r="K41" s="12"/>
    </row>
    <row r="42" spans="1:11">
      <c r="A42" s="1"/>
      <c r="K42" s="12"/>
    </row>
    <row r="43" spans="1:11">
      <c r="A43" s="1"/>
      <c r="K43" s="12"/>
    </row>
    <row r="44" spans="1:11">
      <c r="A44" s="1"/>
      <c r="K44" s="12"/>
    </row>
    <row r="45" spans="1:11">
      <c r="J45" s="11"/>
    </row>
    <row r="46" spans="1:11">
      <c r="J46" s="11"/>
    </row>
  </sheetData>
  <mergeCells count="8">
    <mergeCell ref="J25:J26"/>
    <mergeCell ref="A1:J1"/>
    <mergeCell ref="B3:B7"/>
    <mergeCell ref="B9:B10"/>
    <mergeCell ref="B11:B17"/>
    <mergeCell ref="B19:B22"/>
    <mergeCell ref="B23:B24"/>
    <mergeCell ref="B25:B29"/>
  </mergeCells>
  <conditionalFormatting sqref="J24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H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{8AE3E078-20BF-4FAB-B4D9-9A19E57EB3A1}</x14:id>
        </ext>
      </extLst>
    </cfRule>
  </conditionalFormatting>
  <conditionalFormatting sqref="H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{73C16A20-6CA5-41F8-8719-298C2C627FBF}</x14:id>
        </ext>
      </extLst>
    </cfRule>
  </conditionalFormatting>
  <conditionalFormatting sqref="H3:H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:I27 H8:H14 I3:I2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:I29 H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AE3E078-20BF-4FAB-B4D9-9A19E57EB3A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73C16A20-6CA5-41F8-8719-298C2C627F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2021-10-16T12:34:00Z</dcterms:created>
  <dcterms:modified xsi:type="dcterms:W3CDTF">2021-11-11T09:46:02Z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