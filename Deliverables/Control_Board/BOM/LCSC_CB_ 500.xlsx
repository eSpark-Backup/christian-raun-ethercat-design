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Github\ChrisitanRaun-AnnanasMotor\Deliverables\Control_Board\BOM\"/>
    </mc:Choice>
  </mc:AlternateContent>
  <bookViews>
    <workbookView xWindow="-120" yWindow="-120" windowWidth="20730" windowHeight="1116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2" i="1" l="1"/>
  <c r="T32" i="1"/>
  <c r="N4" i="1"/>
  <c r="V27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" i="1"/>
  <c r="N3" i="1"/>
  <c r="T26" i="1"/>
  <c r="T4" i="1"/>
  <c r="T3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T25" i="1"/>
  <c r="V30" i="1" l="1"/>
  <c r="V33" i="1"/>
  <c r="V31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7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7" i="1"/>
  <c r="R3" i="1"/>
  <c r="R30" i="1" l="1"/>
  <c r="R33" i="1" s="1"/>
  <c r="T30" i="1"/>
  <c r="T31" i="1" l="1"/>
  <c r="T33" i="1"/>
</calcChain>
</file>

<file path=xl/sharedStrings.xml><?xml version="1.0" encoding="utf-8"?>
<sst xmlns="http://schemas.openxmlformats.org/spreadsheetml/2006/main" count="298" uniqueCount="195">
  <si>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</si>
  <si>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</si>
  <si>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</si>
  <si>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</si>
  <si>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</si>
  <si>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</si>
  <si>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</si>
  <si>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 xml:space="preserve">LCSC Part No </t>
  </si>
  <si>
    <t>Alternate</t>
  </si>
  <si>
    <t>Value</t>
  </si>
  <si>
    <t>Quantity (Per Board)</t>
  </si>
  <si>
    <t>Link</t>
  </si>
  <si>
    <t>Unit Cost(1)</t>
  </si>
  <si>
    <t>Remarks</t>
  </si>
  <si>
    <t>Quotation of orignal parts from Chinese supplier</t>
  </si>
  <si>
    <t>Capacitor</t>
  </si>
  <si>
    <t>CAP CER 1UF 100V X7S 0805</t>
  </si>
  <si>
    <t>C1, C3, C5, C26</t>
  </si>
  <si>
    <t>Cap0805</t>
  </si>
  <si>
    <t>GCM21BC72A105KE36L</t>
  </si>
  <si>
    <t xml:space="preserve">Murata </t>
  </si>
  <si>
    <t>C2842838</t>
  </si>
  <si>
    <t>------------</t>
  </si>
  <si>
    <t>1uF</t>
  </si>
  <si>
    <t>LCSC</t>
  </si>
  <si>
    <t>CAP CER 0.1UF 100V X7R 0603</t>
  </si>
  <si>
    <t>Cap0603</t>
  </si>
  <si>
    <t>CC0603KRX7R0BB104</t>
  </si>
  <si>
    <t>YAGEO</t>
  </si>
  <si>
    <t xml:space="preserve">C113803
</t>
  </si>
  <si>
    <t>0.1uF</t>
  </si>
  <si>
    <t>CAP CER 10UF 50V X5R 0805</t>
  </si>
  <si>
    <t>C17</t>
  </si>
  <si>
    <t>GRM21BR61H106ME43L</t>
  </si>
  <si>
    <t>C440198</t>
  </si>
  <si>
    <t>GRM21BR61H106KE43L</t>
  </si>
  <si>
    <t>10uF</t>
  </si>
  <si>
    <t>CAP CER 4.7UF 25V X5R 0603</t>
  </si>
  <si>
    <t>C18, C19, C29</t>
  </si>
  <si>
    <t>C1608X5R1E475M080AC</t>
  </si>
  <si>
    <t xml:space="preserve">TDK </t>
  </si>
  <si>
    <t>C76615</t>
  </si>
  <si>
    <t>C1608X5R1E475KT000E</t>
  </si>
  <si>
    <t>4.7uF</t>
  </si>
  <si>
    <t>CAP CER 10PF 50V C0G/NP0 0603</t>
  </si>
  <si>
    <t>C27, C28, C32, C33</t>
  </si>
  <si>
    <t>06035A100JAT2A</t>
  </si>
  <si>
    <t xml:space="preserve">KYOCERA AVX
</t>
  </si>
  <si>
    <t xml:space="preserve">C106245
</t>
  </si>
  <si>
    <t>CC0603JRNPO9BN100</t>
  </si>
  <si>
    <t>10pF</t>
  </si>
  <si>
    <t>LED</t>
  </si>
  <si>
    <t>Green 520~535nm 0402 Light Emitting Diodes (LED) RoHS</t>
  </si>
  <si>
    <t>LED1, LED2,LED3</t>
  </si>
  <si>
    <t>LED 0402</t>
  </si>
  <si>
    <t>16-213/GHC-YR1S1/3T</t>
  </si>
  <si>
    <t>Everlight Elec</t>
  </si>
  <si>
    <t>C74338</t>
  </si>
  <si>
    <t>-----</t>
  </si>
  <si>
    <t xml:space="preserve">Inductor </t>
  </si>
  <si>
    <t>200Ω @ 100MHz 1 1A 300mΩ 0603 Ferrite Beads</t>
  </si>
  <si>
    <t>L1, L2, L3, L4, L5</t>
  </si>
  <si>
    <t>Ind 0603</t>
  </si>
  <si>
    <t>MLB1608-201P1A(f)</t>
  </si>
  <si>
    <t xml:space="preserve">Meled </t>
  </si>
  <si>
    <t>C45316</t>
  </si>
  <si>
    <t>IND SMD 10uH 500mA 0805</t>
  </si>
  <si>
    <t>L6</t>
  </si>
  <si>
    <t>Ind0805</t>
  </si>
  <si>
    <t>MGFL2012F100MT-LF</t>
  </si>
  <si>
    <t>microgate</t>
  </si>
  <si>
    <t>C281113</t>
  </si>
  <si>
    <t>Resistor</t>
  </si>
  <si>
    <t>RES SMD 10K OHM 5% 1/10W 0603</t>
  </si>
  <si>
    <t>R1, R2, R3, R4, R5, R9, R14, R15, R16, R23, R41, R42</t>
  </si>
  <si>
    <t>Res0603</t>
  </si>
  <si>
    <t>AC0603JR-0710KL</t>
  </si>
  <si>
    <t>C140867</t>
  </si>
  <si>
    <t>10K</t>
  </si>
  <si>
    <t>RES SMD 0603 33 Ohm 1% 1/10W</t>
  </si>
  <si>
    <t>R6, R11, R12</t>
  </si>
  <si>
    <t>RC0603FR-0733RL</t>
  </si>
  <si>
    <t>C108661</t>
  </si>
  <si>
    <t>33R</t>
  </si>
  <si>
    <t>RES  SMD 330R 100 mW 0603</t>
  </si>
  <si>
    <t>R7</t>
  </si>
  <si>
    <t>RC0603JR-07330RL</t>
  </si>
  <si>
    <t>C105879</t>
  </si>
  <si>
    <t>330R</t>
  </si>
  <si>
    <t>RES SMD 1K OHM 1% 1/10W 0603</t>
  </si>
  <si>
    <t>R8, R10, R40,R17</t>
  </si>
  <si>
    <t>RC0603FR-071KL</t>
  </si>
  <si>
    <t>C22548</t>
  </si>
  <si>
    <t>1K</t>
  </si>
  <si>
    <t>RES SMD 100 OHM 1% 1/10W 0603</t>
  </si>
  <si>
    <t>R18, R19</t>
  </si>
  <si>
    <t>RC0603FR-07100RL</t>
  </si>
  <si>
    <t>C105588</t>
  </si>
  <si>
    <t>100R</t>
  </si>
  <si>
    <t>RES SMD 470 OHM 1% 1/10W 0603</t>
  </si>
  <si>
    <t>R20</t>
  </si>
  <si>
    <t>RC0603FR-07470RL</t>
  </si>
  <si>
    <t>C114669</t>
  </si>
  <si>
    <t>470R</t>
  </si>
  <si>
    <t>RES SMD 12.1K OHM 1/10W 0603</t>
  </si>
  <si>
    <t>R13</t>
  </si>
  <si>
    <t>RT0603CRD0712K1L</t>
  </si>
  <si>
    <t xml:space="preserve">Stackpole </t>
  </si>
  <si>
    <t>C705893</t>
  </si>
  <si>
    <t>12.1K</t>
  </si>
  <si>
    <t>Switch</t>
  </si>
  <si>
    <t>SWITCH TACTILE SPST-NO 0.05A 12V</t>
  </si>
  <si>
    <t>SW1</t>
  </si>
  <si>
    <t>Custom</t>
  </si>
  <si>
    <t>B3U-1000P</t>
  </si>
  <si>
    <t>Omron</t>
  </si>
  <si>
    <t>Ics</t>
  </si>
  <si>
    <t>IC ETHERCAT SLAVE CONTROLLER</t>
  </si>
  <si>
    <t>U1</t>
  </si>
  <si>
    <t>LAN9255/ZMX019</t>
  </si>
  <si>
    <t>IC EEPROM 256KBIT I2C 1MHZ 8SOIC</t>
  </si>
  <si>
    <t>U2</t>
  </si>
  <si>
    <t>8-SOIC</t>
  </si>
  <si>
    <t>CAT24C256WI-GT3</t>
  </si>
  <si>
    <t>onsemi</t>
  </si>
  <si>
    <t>MAGNETIC ANGLE SENSOR</t>
  </si>
  <si>
    <t>U4</t>
  </si>
  <si>
    <t>TLE5012BE5000FUMA1</t>
  </si>
  <si>
    <t xml:space="preserve">Infineon </t>
  </si>
  <si>
    <t>IC TRNSLTR BIDIRECTIONAL US8</t>
  </si>
  <si>
    <t>U3</t>
  </si>
  <si>
    <t>8-VSSOP</t>
  </si>
  <si>
    <t>TXB0102DCUT</t>
  </si>
  <si>
    <t xml:space="preserve">Texas </t>
  </si>
  <si>
    <t>C2677366</t>
  </si>
  <si>
    <t>Crystal</t>
  </si>
  <si>
    <t>CRYSTAL 25.0000MHZ 8PF SMD</t>
  </si>
  <si>
    <t>X1</t>
  </si>
  <si>
    <t>C3E-25.000-8-1015-X-M</t>
  </si>
  <si>
    <t>Crystal 32.768KHZ 6.0PF SMD</t>
  </si>
  <si>
    <t>X2</t>
  </si>
  <si>
    <t>CM8V-T1A-32.768KHZ-6PF-20PPM-TA-QC</t>
  </si>
  <si>
    <t>Custom supplier</t>
  </si>
  <si>
    <t>Connector</t>
  </si>
  <si>
    <t>HDR1X5 SMD</t>
  </si>
  <si>
    <t>PH254P1x12SMRA-100</t>
  </si>
  <si>
    <t>RTLECS</t>
  </si>
  <si>
    <t>Aliexpress</t>
  </si>
  <si>
    <t>J3</t>
  </si>
  <si>
    <t>Solder Bridge ON</t>
  </si>
  <si>
    <t>SB1, SB4, SB5, SB6, SB7</t>
  </si>
  <si>
    <t>Solder Bridge</t>
  </si>
  <si>
    <t>DO NOT Mount</t>
  </si>
  <si>
    <t>Test Point ON</t>
  </si>
  <si>
    <t>P1,P5,P6</t>
  </si>
  <si>
    <t>TEST POINT</t>
  </si>
  <si>
    <t xml:space="preserve">Total Component Cost </t>
  </si>
  <si>
    <t>Single Board Cost</t>
  </si>
  <si>
    <t>C2, C4, C6, C7, C8, C9, C10, C11, C12, C13, C14, C15, C16, C20, C21, C22, C23, C24, C25, C30, C31, C34, C35, C41</t>
  </si>
  <si>
    <t>Total Cost(1)</t>
  </si>
  <si>
    <t>MOQ=10</t>
  </si>
  <si>
    <t>-----------</t>
  </si>
  <si>
    <t>--------</t>
  </si>
  <si>
    <t>----</t>
  </si>
  <si>
    <t>-------</t>
  </si>
  <si>
    <t>Bill of Material (BOM) for Controller Board</t>
  </si>
  <si>
    <t xml:space="preserve">128-TQFP (14x14)
</t>
  </si>
  <si>
    <t xml:space="preserve">Microchip </t>
  </si>
  <si>
    <t>----------</t>
  </si>
  <si>
    <t>5 POS 2.54mm Pin Header Male single row Right Angle SMD</t>
  </si>
  <si>
    <t>6 POS 2.54mm Pin Header Male single row Right Angle SMD</t>
  </si>
  <si>
    <t>J1</t>
  </si>
  <si>
    <t>HDR1X6 SMD</t>
  </si>
  <si>
    <t>J2</t>
  </si>
  <si>
    <t>PH254P1x12SMRA-100_1</t>
  </si>
  <si>
    <t>Aker Technology</t>
  </si>
  <si>
    <t xml:space="preserve">CONN HEADER SMD 26POS 2.54MM
</t>
  </si>
  <si>
    <t xml:space="preserve">95278-101A26LF
</t>
  </si>
  <si>
    <t xml:space="preserve">Amphenol </t>
  </si>
  <si>
    <t>Quantity 500</t>
  </si>
  <si>
    <t>Unit Cost(500)</t>
  </si>
  <si>
    <t>S3225000201060</t>
  </si>
  <si>
    <t>C390774</t>
  </si>
  <si>
    <t>Quantity 1000</t>
  </si>
  <si>
    <t>MOQ Total 500</t>
  </si>
  <si>
    <t>Unit Cost(1000)</t>
  </si>
  <si>
    <t>MOQ Total 1000</t>
  </si>
  <si>
    <t>LCSC/MOQ (500)</t>
  </si>
  <si>
    <t>LCSC/MOQ (1000)</t>
  </si>
  <si>
    <t>Aliexpress Shipping</t>
  </si>
  <si>
    <t>Total with Shipping</t>
  </si>
  <si>
    <t>For 540 pieces of 6 pin header</t>
  </si>
  <si>
    <t>Each 40 header will have 8 pieces. 70*8=560 pieces.</t>
  </si>
  <si>
    <t>Out of stock on custom supplier. Alternate added</t>
  </si>
  <si>
    <t>Chipmall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</si>
</sst>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00"/>
    <numFmt numFmtId="165" formatCode="&quot;$&quot;#,##0.00000"/>
    <numFmt numFmtId="166" formatCode="&quot;$&quot;#,##0.00"/>
    <numFmt numFmtId="167" formatCode="_-[$$-409]* #,##0.00_ ;_-[$$-409]* \-#,##0.00\ ;_-[$$-409]* &quot;-&quot;??_ ;_-@_ "/>
  </numFmts>
  <fonts count="20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9"/>
      <color rgb="FF222222"/>
      <name val="Arial"/>
      <charset val="134"/>
    </font>
    <font>
      <u/>
      <sz val="11"/>
      <color rgb="FF0000FF"/>
      <name val="Calibri"/>
      <scheme val="minor"/>
    </font>
    <font>
      <strike/>
      <sz val="10"/>
      <color rgb="FFFF0000"/>
      <name val="Calibri"/>
      <family val="2"/>
    </font>
    <font>
      <sz val="10"/>
      <color theme="1"/>
      <name val="Calibri"/>
      <family val="2"/>
    </font>
    <font>
      <b/>
      <sz val="12"/>
      <color theme="0"/>
      <name val="Calibri"/>
      <family val="2"/>
      <scheme val="minor"/>
    </font>
    <font>
      <sz val="10"/>
      <color rgb="FF000000"/>
      <name val="Calibri"/>
      <family val="2"/>
    </font>
    <font>
      <u/>
      <sz val="10"/>
      <color theme="10"/>
      <name val="Calibri"/>
      <family val="2"/>
    </font>
    <font>
      <b/>
      <sz val="10"/>
      <color rgb="FFFF0000"/>
      <name val="Calibri"/>
      <family val="2"/>
    </font>
    <font>
      <sz val="10"/>
      <color rgb="FF333333"/>
      <name val="Calibri"/>
      <family val="2"/>
    </font>
    <font>
      <b/>
      <strike/>
      <sz val="10"/>
      <color rgb="FFFF0000"/>
      <name val="Calibri"/>
      <family val="2"/>
    </font>
    <font>
      <u/>
      <sz val="10"/>
      <color rgb="FF0000FF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53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7" fillId="5" borderId="0" xfId="0" applyFont="1" applyFill="1" applyAlignment="1">
      <alignment horizontal="left" vertical="top"/>
    </xf>
    <xf numFmtId="0" fontId="5" fillId="0" borderId="0" xfId="0" applyFont="1" applyFill="1" applyAlignment="1">
      <alignment horizontal="center"/>
    </xf>
    <xf numFmtId="0" fontId="1" fillId="3" borderId="16" xfId="0" applyFont="1" applyFill="1" applyBorder="1" applyAlignment="1">
      <alignment horizontal="center" vertical="center"/>
    </xf>
    <xf numFmtId="164" fontId="1" fillId="3" borderId="5" xfId="0" applyNumberFormat="1" applyFont="1" applyFill="1" applyBorder="1" applyAlignment="1">
      <alignment horizontal="center" vertical="center"/>
    </xf>
    <xf numFmtId="0" fontId="5" fillId="0" borderId="0" xfId="0" applyFont="1" applyFill="1" applyAlignment="1"/>
    <xf numFmtId="0" fontId="0" fillId="0" borderId="0" xfId="0" applyFont="1" applyFill="1" applyAlignment="1"/>
    <xf numFmtId="0" fontId="9" fillId="0" borderId="11" xfId="0" quotePrefix="1" applyFont="1" applyFill="1" applyBorder="1" applyAlignment="1">
      <alignment horizontal="center" vertical="center"/>
    </xf>
    <xf numFmtId="0" fontId="9" fillId="0" borderId="14" xfId="0" quotePrefix="1" applyFont="1" applyFill="1" applyBorder="1" applyAlignment="1">
      <alignment horizontal="center" vertical="center"/>
    </xf>
    <xf numFmtId="164" fontId="11" fillId="3" borderId="5" xfId="0" applyNumberFormat="1" applyFont="1" applyFill="1" applyBorder="1" applyAlignment="1">
      <alignment horizontal="center" vertical="center"/>
    </xf>
    <xf numFmtId="0" fontId="13" fillId="0" borderId="11" xfId="1" quotePrefix="1" applyFont="1" applyBorder="1" applyAlignment="1">
      <alignment horizontal="center" vertical="center"/>
    </xf>
    <xf numFmtId="0" fontId="9" fillId="7" borderId="11" xfId="0" quotePrefix="1" applyFont="1" applyFill="1" applyBorder="1" applyAlignment="1">
      <alignment horizontal="center" vertical="center"/>
    </xf>
    <xf numFmtId="0" fontId="10" fillId="0" borderId="8" xfId="0" quotePrefix="1" applyFont="1" applyFill="1" applyBorder="1" applyAlignment="1">
      <alignment horizontal="center" vertical="center"/>
    </xf>
    <xf numFmtId="0" fontId="10" fillId="0" borderId="11" xfId="0" quotePrefix="1" applyFont="1" applyFill="1" applyBorder="1" applyAlignment="1">
      <alignment horizontal="center" vertical="center"/>
    </xf>
    <xf numFmtId="0" fontId="12" fillId="4" borderId="11" xfId="0" quotePrefix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12" fillId="4" borderId="22" xfId="0" quotePrefix="1" applyFont="1" applyFill="1" applyBorder="1" applyAlignment="1">
      <alignment horizontal="center" vertical="center"/>
    </xf>
    <xf numFmtId="0" fontId="13" fillId="0" borderId="8" xfId="1" quotePrefix="1" applyFont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/>
    </xf>
    <xf numFmtId="0" fontId="9" fillId="7" borderId="14" xfId="0" quotePrefix="1" applyFont="1" applyFill="1" applyBorder="1" applyAlignment="1">
      <alignment horizontal="center" vertical="center"/>
    </xf>
    <xf numFmtId="0" fontId="10" fillId="0" borderId="7" xfId="0" quotePrefix="1" applyFont="1" applyFill="1" applyBorder="1" applyAlignment="1">
      <alignment horizontal="left" vertical="center"/>
    </xf>
    <xf numFmtId="0" fontId="12" fillId="0" borderId="8" xfId="0" quotePrefix="1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8" xfId="0" quotePrefix="1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164" fontId="13" fillId="0" borderId="8" xfId="1" applyNumberFormat="1" applyFont="1" applyBorder="1" applyAlignment="1">
      <alignment horizontal="center" vertical="center"/>
    </xf>
    <xf numFmtId="164" fontId="12" fillId="0" borderId="8" xfId="0" applyNumberFormat="1" applyFont="1" applyFill="1" applyBorder="1" applyAlignment="1">
      <alignment horizontal="center" vertical="center"/>
    </xf>
    <xf numFmtId="164" fontId="10" fillId="0" borderId="8" xfId="0" applyNumberFormat="1" applyFont="1" applyFill="1" applyBorder="1" applyAlignment="1">
      <alignment horizontal="center" vertical="center"/>
    </xf>
    <xf numFmtId="166" fontId="10" fillId="0" borderId="18" xfId="0" applyNumberFormat="1" applyFont="1" applyFill="1" applyBorder="1" applyAlignment="1">
      <alignment horizontal="center" vertical="center"/>
    </xf>
    <xf numFmtId="0" fontId="10" fillId="0" borderId="10" xfId="0" quotePrefix="1" applyFont="1" applyFill="1" applyBorder="1" applyAlignment="1">
      <alignment horizontal="left" vertical="center"/>
    </xf>
    <xf numFmtId="0" fontId="12" fillId="0" borderId="11" xfId="0" quotePrefix="1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164" fontId="13" fillId="0" borderId="11" xfId="1" applyNumberFormat="1" applyFont="1" applyBorder="1" applyAlignment="1">
      <alignment horizontal="center" vertical="center"/>
    </xf>
    <xf numFmtId="164" fontId="12" fillId="0" borderId="11" xfId="0" applyNumberFormat="1" applyFont="1" applyFill="1" applyBorder="1" applyAlignment="1">
      <alignment horizontal="center" vertical="center"/>
    </xf>
    <xf numFmtId="164" fontId="10" fillId="0" borderId="11" xfId="0" applyNumberFormat="1" applyFont="1" applyFill="1" applyBorder="1" applyAlignment="1">
      <alignment horizontal="center" vertical="center"/>
    </xf>
    <xf numFmtId="166" fontId="10" fillId="0" borderId="19" xfId="0" applyNumberFormat="1" applyFont="1" applyFill="1" applyBorder="1" applyAlignment="1">
      <alignment horizontal="center" vertical="center"/>
    </xf>
    <xf numFmtId="0" fontId="10" fillId="4" borderId="11" xfId="0" quotePrefix="1" applyFont="1" applyFill="1" applyBorder="1" applyAlignment="1">
      <alignment horizontal="center" vertical="center"/>
    </xf>
    <xf numFmtId="165" fontId="12" fillId="0" borderId="11" xfId="0" applyNumberFormat="1" applyFont="1" applyFill="1" applyBorder="1" applyAlignment="1">
      <alignment horizontal="center" vertical="center"/>
    </xf>
    <xf numFmtId="0" fontId="10" fillId="0" borderId="13" xfId="0" quotePrefix="1" applyFont="1" applyFill="1" applyBorder="1" applyAlignment="1">
      <alignment horizontal="left" vertical="center"/>
    </xf>
    <xf numFmtId="0" fontId="10" fillId="0" borderId="14" xfId="0" quotePrefix="1" applyFont="1" applyFill="1" applyBorder="1" applyAlignment="1">
      <alignment horizontal="center" vertical="center"/>
    </xf>
    <xf numFmtId="0" fontId="12" fillId="0" borderId="14" xfId="0" quotePrefix="1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10" fillId="4" borderId="14" xfId="0" quotePrefix="1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3" fillId="0" borderId="14" xfId="1" quotePrefix="1" applyFont="1" applyBorder="1" applyAlignment="1">
      <alignment horizontal="center" vertical="center"/>
    </xf>
    <xf numFmtId="164" fontId="12" fillId="4" borderId="14" xfId="0" applyNumberFormat="1" applyFont="1" applyFill="1" applyBorder="1" applyAlignment="1">
      <alignment horizontal="center" vertical="center"/>
    </xf>
    <xf numFmtId="164" fontId="12" fillId="0" borderId="14" xfId="0" applyNumberFormat="1" applyFont="1" applyFill="1" applyBorder="1" applyAlignment="1">
      <alignment horizontal="center" vertical="center"/>
    </xf>
    <xf numFmtId="164" fontId="10" fillId="0" borderId="14" xfId="0" applyNumberFormat="1" applyFont="1" applyFill="1" applyBorder="1" applyAlignment="1">
      <alignment horizontal="center" vertical="center"/>
    </xf>
    <xf numFmtId="166" fontId="10" fillId="0" borderId="20" xfId="0" applyNumberFormat="1" applyFont="1" applyFill="1" applyBorder="1" applyAlignment="1">
      <alignment horizontal="center" vertical="center"/>
    </xf>
    <xf numFmtId="0" fontId="10" fillId="0" borderId="25" xfId="0" quotePrefix="1" applyFont="1" applyFill="1" applyBorder="1" applyAlignment="1">
      <alignment horizontal="left" vertical="center"/>
    </xf>
    <xf numFmtId="0" fontId="10" fillId="0" borderId="22" xfId="0" quotePrefix="1" applyFont="1" applyFill="1" applyBorder="1" applyAlignment="1">
      <alignment horizontal="center" vertical="center"/>
    </xf>
    <xf numFmtId="0" fontId="12" fillId="0" borderId="22" xfId="0" quotePrefix="1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/>
    </xf>
    <xf numFmtId="0" fontId="10" fillId="4" borderId="22" xfId="0" quotePrefix="1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0" fillId="0" borderId="22" xfId="0" applyFont="1" applyFill="1" applyBorder="1" applyAlignment="1">
      <alignment horizontal="center" vertical="center"/>
    </xf>
    <xf numFmtId="0" fontId="13" fillId="0" borderId="22" xfId="1" quotePrefix="1" applyFont="1" applyBorder="1" applyAlignment="1">
      <alignment horizontal="center" vertical="center"/>
    </xf>
    <xf numFmtId="164" fontId="12" fillId="0" borderId="22" xfId="0" applyNumberFormat="1" applyFont="1" applyFill="1" applyBorder="1" applyAlignment="1">
      <alignment horizontal="center" vertical="center"/>
    </xf>
    <xf numFmtId="164" fontId="10" fillId="0" borderId="22" xfId="0" applyNumberFormat="1" applyFont="1" applyFill="1" applyBorder="1" applyAlignment="1">
      <alignment horizontal="center" vertical="center"/>
    </xf>
    <xf numFmtId="166" fontId="10" fillId="0" borderId="27" xfId="0" applyNumberFormat="1" applyFont="1" applyFill="1" applyBorder="1" applyAlignment="1">
      <alignment horizontal="center" vertical="center"/>
    </xf>
    <xf numFmtId="0" fontId="10" fillId="4" borderId="8" xfId="0" quotePrefix="1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164" fontId="13" fillId="0" borderId="14" xfId="1" applyNumberFormat="1" applyFont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3" fillId="4" borderId="11" xfId="1" quotePrefix="1" applyFont="1" applyFill="1" applyBorder="1" applyAlignment="1">
      <alignment horizontal="center" vertical="center"/>
    </xf>
    <xf numFmtId="164" fontId="12" fillId="4" borderId="11" xfId="0" applyNumberFormat="1" applyFont="1" applyFill="1" applyBorder="1" applyAlignment="1">
      <alignment horizontal="center" vertical="center"/>
    </xf>
    <xf numFmtId="0" fontId="10" fillId="4" borderId="25" xfId="0" quotePrefix="1" applyFont="1" applyFill="1" applyBorder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0" fillId="4" borderId="10" xfId="0" quotePrefix="1" applyFont="1" applyFill="1" applyBorder="1" applyAlignment="1">
      <alignment horizontal="left" vertical="center"/>
    </xf>
    <xf numFmtId="0" fontId="9" fillId="7" borderId="10" xfId="0" quotePrefix="1" applyFont="1" applyFill="1" applyBorder="1" applyAlignment="1">
      <alignment horizontal="left" vertical="center"/>
    </xf>
    <xf numFmtId="0" fontId="9" fillId="7" borderId="11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167" fontId="16" fillId="7" borderId="11" xfId="0" applyNumberFormat="1" applyFont="1" applyFill="1" applyBorder="1" applyAlignment="1">
      <alignment horizontal="center" vertical="center"/>
    </xf>
    <xf numFmtId="166" fontId="10" fillId="7" borderId="19" xfId="0" applyNumberFormat="1" applyFont="1" applyFill="1" applyBorder="1" applyAlignment="1">
      <alignment horizontal="center" vertical="center"/>
    </xf>
    <xf numFmtId="0" fontId="9" fillId="7" borderId="13" xfId="0" quotePrefix="1" applyFont="1" applyFill="1" applyBorder="1" applyAlignment="1">
      <alignment horizontal="left" vertical="center"/>
    </xf>
    <xf numFmtId="0" fontId="9" fillId="7" borderId="14" xfId="0" applyFont="1" applyFill="1" applyBorder="1" applyAlignment="1">
      <alignment horizontal="center" vertical="center"/>
    </xf>
    <xf numFmtId="167" fontId="16" fillId="7" borderId="14" xfId="0" applyNumberFormat="1" applyFont="1" applyFill="1" applyBorder="1" applyAlignment="1">
      <alignment horizontal="center" vertical="center"/>
    </xf>
    <xf numFmtId="166" fontId="10" fillId="7" borderId="20" xfId="0" applyNumberFormat="1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vertical="center" wrapText="1"/>
    </xf>
    <xf numFmtId="0" fontId="10" fillId="0" borderId="11" xfId="0" applyFont="1" applyBorder="1" applyAlignment="1">
      <alignment horizontal="center" vertical="center" wrapText="1"/>
    </xf>
    <xf numFmtId="0" fontId="17" fillId="0" borderId="11" xfId="1" applyFont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31" xfId="0" applyFill="1" applyBorder="1" applyAlignment="1"/>
    <xf numFmtId="0" fontId="0" fillId="0" borderId="34" xfId="0" applyFill="1" applyBorder="1" applyAlignment="1"/>
    <xf numFmtId="164" fontId="0" fillId="0" borderId="34" xfId="0" applyNumberFormat="1" applyFill="1" applyBorder="1" applyAlignment="1"/>
    <xf numFmtId="166" fontId="0" fillId="0" borderId="34" xfId="0" applyNumberFormat="1" applyFill="1" applyBorder="1" applyAlignment="1"/>
    <xf numFmtId="166" fontId="0" fillId="0" borderId="35" xfId="0" applyNumberFormat="1" applyFill="1" applyBorder="1" applyAlignment="1"/>
    <xf numFmtId="0" fontId="10" fillId="7" borderId="29" xfId="0" applyFont="1" applyFill="1" applyBorder="1" applyAlignment="1">
      <alignment horizontal="center" vertical="center"/>
    </xf>
    <xf numFmtId="0" fontId="10" fillId="0" borderId="28" xfId="0" applyFont="1" applyFill="1" applyBorder="1" applyAlignment="1">
      <alignment horizontal="center" vertical="center"/>
    </xf>
    <xf numFmtId="0" fontId="9" fillId="7" borderId="29" xfId="0" quotePrefix="1" applyFont="1" applyFill="1" applyBorder="1" applyAlignment="1">
      <alignment horizontal="center" vertical="center"/>
    </xf>
    <xf numFmtId="0" fontId="0" fillId="0" borderId="17" xfId="0" applyFill="1" applyBorder="1" applyAlignment="1"/>
    <xf numFmtId="0" fontId="0" fillId="0" borderId="37" xfId="0" applyFill="1" applyBorder="1" applyAlignment="1"/>
    <xf numFmtId="164" fontId="0" fillId="0" borderId="31" xfId="0" applyNumberFormat="1" applyFill="1" applyBorder="1" applyAlignment="1"/>
    <xf numFmtId="166" fontId="4" fillId="0" borderId="31" xfId="0" applyNumberFormat="1" applyFont="1" applyFill="1" applyBorder="1" applyAlignment="1">
      <alignment horizontal="center" vertical="center"/>
    </xf>
    <xf numFmtId="166" fontId="4" fillId="0" borderId="32" xfId="0" applyNumberFormat="1" applyFont="1" applyFill="1" applyBorder="1" applyAlignment="1">
      <alignment horizontal="center" vertical="center"/>
    </xf>
    <xf numFmtId="166" fontId="4" fillId="0" borderId="34" xfId="0" applyNumberFormat="1" applyFont="1" applyFill="1" applyBorder="1" applyAlignment="1">
      <alignment horizontal="center" vertical="center"/>
    </xf>
    <xf numFmtId="166" fontId="4" fillId="0" borderId="35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0" fillId="0" borderId="23" xfId="0" quotePrefix="1" applyFont="1" applyFill="1" applyBorder="1" applyAlignment="1">
      <alignment horizontal="left" vertical="center" wrapText="1"/>
    </xf>
    <xf numFmtId="0" fontId="10" fillId="0" borderId="17" xfId="0" quotePrefix="1" applyFont="1" applyFill="1" applyBorder="1" applyAlignment="1">
      <alignment horizontal="center" vertical="center"/>
    </xf>
    <xf numFmtId="0" fontId="13" fillId="0" borderId="8" xfId="1" quotePrefix="1" applyFont="1" applyFill="1" applyBorder="1" applyAlignment="1">
      <alignment horizontal="center" vertical="center"/>
    </xf>
    <xf numFmtId="166" fontId="10" fillId="0" borderId="8" xfId="0" applyNumberFormat="1" applyFont="1" applyFill="1" applyBorder="1" applyAlignment="1">
      <alignment horizontal="center" vertical="center"/>
    </xf>
    <xf numFmtId="0" fontId="13" fillId="0" borderId="11" xfId="1" quotePrefix="1" applyFont="1" applyFill="1" applyBorder="1" applyAlignment="1">
      <alignment horizontal="center" vertical="center"/>
    </xf>
    <xf numFmtId="166" fontId="15" fillId="0" borderId="11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3" fillId="0" borderId="14" xfId="1" quotePrefix="1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0" fontId="8" fillId="0" borderId="8" xfId="1" quotePrefix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166" fontId="10" fillId="0" borderId="14" xfId="0" applyNumberFormat="1" applyFont="1" applyFill="1" applyBorder="1" applyAlignment="1">
      <alignment horizontal="center" vertical="center"/>
    </xf>
    <xf numFmtId="167" fontId="16" fillId="0" borderId="14" xfId="0" applyNumberFormat="1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 wrapText="1"/>
    </xf>
    <xf numFmtId="0" fontId="13" fillId="0" borderId="29" xfId="1" quotePrefix="1" applyFont="1" applyFill="1" applyBorder="1" applyAlignment="1">
      <alignment horizontal="center" vertical="center"/>
    </xf>
    <xf numFmtId="164" fontId="12" fillId="0" borderId="29" xfId="0" applyNumberFormat="1" applyFont="1" applyFill="1" applyBorder="1" applyAlignment="1">
      <alignment horizontal="center" vertical="center"/>
    </xf>
    <xf numFmtId="164" fontId="10" fillId="0" borderId="29" xfId="0" applyNumberFormat="1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vertical="center" wrapText="1"/>
    </xf>
    <xf numFmtId="0" fontId="18" fillId="0" borderId="36" xfId="0" applyFont="1" applyFill="1" applyBorder="1" applyAlignment="1">
      <alignment horizontal="center" vertical="center"/>
    </xf>
    <xf numFmtId="0" fontId="18" fillId="0" borderId="17" xfId="0" applyFont="1" applyFill="1" applyBorder="1" applyAlignment="1">
      <alignment horizontal="center" vertical="center"/>
    </xf>
    <xf numFmtId="0" fontId="18" fillId="0" borderId="33" xfId="0" applyFont="1" applyFill="1" applyBorder="1" applyAlignment="1">
      <alignment horizontal="center" vertical="center"/>
    </xf>
    <xf numFmtId="0" fontId="18" fillId="0" borderId="3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8" fillId="0" borderId="30" xfId="0" applyFont="1" applyFill="1" applyBorder="1" applyAlignment="1">
      <alignment horizontal="center"/>
    </xf>
    <xf numFmtId="0" fontId="18" fillId="0" borderId="31" xfId="0" applyFont="1" applyFill="1" applyBorder="1" applyAlignment="1">
      <alignment horizontal="center"/>
    </xf>
    <xf numFmtId="0" fontId="18" fillId="0" borderId="33" xfId="0" applyFont="1" applyFill="1" applyBorder="1" applyAlignment="1">
      <alignment horizontal="center"/>
    </xf>
    <xf numFmtId="0" fontId="18" fillId="0" borderId="34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horizontal="center" vertical="center"/>
    </xf>
    <xf numFmtId="164" fontId="10" fillId="0" borderId="28" xfId="0" applyNumberFormat="1" applyFont="1" applyFill="1" applyBorder="1" applyAlignment="1">
      <alignment horizontal="center" vertical="center"/>
    </xf>
    <xf numFmtId="164" fontId="10" fillId="0" borderId="17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Chip-Resistor-Surface-Mount_YAGEO-RC0603JR-07330RL_C105879.html" TargetMode="External"/><Relationship Id="rId13" Type="http://schemas.openxmlformats.org/officeDocument/2006/relationships/hyperlink" Target="https://www.lcsc.com/product-detail/Multilayer-Ceramic-Capacitors-MLCC-SMD-SMT_TDK-C1608X5R1E475KT000E_C76615.html" TargetMode="External"/><Relationship Id="rId18" Type="http://schemas.openxmlformats.org/officeDocument/2006/relationships/hyperlink" Target="https://lcsc.com/product-detail/Chip-Resistor-Surface-Mount_YAGEO-RC0603FR-07100RL_C105588.html" TargetMode="External"/><Relationship Id="rId3" Type="http://schemas.openxmlformats.org/officeDocument/2006/relationships/hyperlink" Target="https://www.lcsc.com/product-detail/Multilayer-Ceramic-Capacitors-MLCC-SMD-SMT_Murata-Electronics-GRM21BR61H106KE43L_C440198.html" TargetMode="External"/><Relationship Id="rId21" Type="http://schemas.openxmlformats.org/officeDocument/2006/relationships/hyperlink" Target="https://lcsc.com/product-detail/Crystals_JGHC-S3225000201060_C390774.html" TargetMode="External"/><Relationship Id="rId7" Type="http://schemas.openxmlformats.org/officeDocument/2006/relationships/hyperlink" Target="https://www.lcsc.com/product-detail/Chip-Resistor-Surface-Mount_YAGEO-AC0603JR-0710KL_C140867.html" TargetMode="External"/><Relationship Id="rId12" Type="http://schemas.openxmlformats.org/officeDocument/2006/relationships/hyperlink" Target="https://www.lcsc.com/product-detail/span-style-background-color-ff0-Tactile-span-Switches_G-span-style-background-color-ff0-Switch-span-GT-TC026B-H015-L1_C778162.html" TargetMode="External"/><Relationship Id="rId17" Type="http://schemas.openxmlformats.org/officeDocument/2006/relationships/hyperlink" Target="https://www.aliexpress.com/item/4000809540773.html?spm=a2g0o.productlist.0.0.6de246c1bZT6MX&amp;algo_pvid=8f5ac8e0-d326-4065-a967-4d43ba16ccd8&amp;algo_exp_id=8f5ac8e0-d326-4065-a967-4d43ba16ccd8-5&amp;pdp_ext_f=%7B%22sku_id%22%3A%2210000008107183129%22%7D" TargetMode="External"/><Relationship Id="rId2" Type="http://schemas.openxmlformats.org/officeDocument/2006/relationships/hyperlink" Target="https://www.lcsc.com/product-detail/Multilayer-Ceramic-Capacitors-MLCC-SMD-SMT_YAGEO-CC0603KRX7R0BB104_C113803.html" TargetMode="External"/><Relationship Id="rId16" Type="http://schemas.openxmlformats.org/officeDocument/2006/relationships/hyperlink" Target="https://www.aliexpress.com/item/32739653845.html?spm=a2g0o.productlist.0.0.1bf27ca0Ywtkh1&amp;algo_pvid=e2db6953-b4be-474d-a782-ce8697907297&amp;algo_exp_id=e2db6953-b4be-474d-a782-ce8697907297-4&amp;pdp_ext_f=%7B%22sku_id%22%3A%2261529845100%22%7D" TargetMode="External"/><Relationship Id="rId20" Type="http://schemas.openxmlformats.org/officeDocument/2006/relationships/hyperlink" Target="https://www.aliexpress.com/item/32724713249.html" TargetMode="External"/><Relationship Id="rId1" Type="http://schemas.openxmlformats.org/officeDocument/2006/relationships/hyperlink" Target="https://www.lcsc.com/product-detail/old-batch_Murata-Electronics-GCM21BC72A105KE36L_C2842838.html" TargetMode="External"/><Relationship Id="rId6" Type="http://schemas.openxmlformats.org/officeDocument/2006/relationships/hyperlink" Target="https://www.lcsc.com/product-detail/Inductors-SMD_microgate-MGFL2012F100MT-LF_C281113.html" TargetMode="External"/><Relationship Id="rId11" Type="http://schemas.openxmlformats.org/officeDocument/2006/relationships/hyperlink" Target="https://www.lcsc.com/product-detail/Chip-Resistor-Surface-Mount_YAGEO-RT0603CRD0712K1L_C705893.html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www.lcsc.com/product-detail/Ferrite-Beads_Meled-MLB1608-201P1A-f_C45316.html" TargetMode="External"/><Relationship Id="rId15" Type="http://schemas.openxmlformats.org/officeDocument/2006/relationships/hyperlink" Target="https://www.aliexpress.com/item/33051187576.html?spm=a2g0o.productlist.0.0.4f684477Oj2GOj&amp;algo_pvid=5b48aa7c-c07c-4917-9349-3704e8d05a03&amp;algo_exp_id=5b48aa7c-c07c-4917-9349-3704e8d05a03-5&amp;pdp_ext_f=%7B%22sku_id%22%3A%2267477268699%22%7D" TargetMode="External"/><Relationship Id="rId23" Type="http://schemas.openxmlformats.org/officeDocument/2006/relationships/hyperlink" Target="https://www.chipmall.com/product_detail/ON-Semiconductor/EEPROM/CAT24C256WI-GT3_8340.html?utm_source=digipart&amp;utm_medium=buyNow" TargetMode="External"/><Relationship Id="rId10" Type="http://schemas.openxmlformats.org/officeDocument/2006/relationships/hyperlink" Target="https://www.lcsc.com/product-detail/Chip-Resistor-Surface-Mount_YAGEO-RC0603FR-071KL_C22548.html" TargetMode="External"/><Relationship Id="rId19" Type="http://schemas.openxmlformats.org/officeDocument/2006/relationships/hyperlink" Target="https://lcsc.com/product-detail/Chip-Resistor-Surface-Mount_YAGEO-RC0603FR-07470RL_C114669.html" TargetMode="External"/><Relationship Id="rId4" Type="http://schemas.openxmlformats.org/officeDocument/2006/relationships/hyperlink" Target="https://www.lcsc.com/product-detail/Light-Emitting-Diodes-LED_Everlight-Elec-16-213-GHC-YR1S1-3T_C74338.html" TargetMode="External"/><Relationship Id="rId9" Type="http://schemas.openxmlformats.org/officeDocument/2006/relationships/hyperlink" Target="https://www.lcsc.com/product-detail/Chip-Resistor-Surface-Mount_YAGEO-RC0603FR-0733RL_C108661.html" TargetMode="External"/><Relationship Id="rId14" Type="http://schemas.openxmlformats.org/officeDocument/2006/relationships/hyperlink" Target="https://www.lcsc.com/product-detail/Multilayer-Ceramic-Capacitors-MLCC-SMD-SMT_YAGEO-CC0603JRNPO9BN100_C106245.html" TargetMode="External"/><Relationship Id="rId22" Type="http://schemas.openxmlformats.org/officeDocument/2006/relationships/hyperlink" Target="https://www.aliexpress.com/item/32739653845.html?spm=a2g0o.productlist.0.0.1bf27ca0Ywtkh1&amp;algo_pvid=e2db6953-b4be-474d-a782-ce8697907297&amp;algo_exp_id=e2db6953-b4be-474d-a782-ce8697907297-4&amp;pdp_ext_f=%7B%22sku_id%22%3A%2261529845100%22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6"/>
  <sheetViews>
    <sheetView tabSelected="1" topLeftCell="A4" workbookViewId="0">
      <selection activeCell="C16" sqref="C16"/>
    </sheetView>
  </sheetViews>
  <sheetFormatPr defaultColWidth="9" defaultRowHeight="15"/>
  <cols>
    <col min="1" max="1" width="6.140625" style="2" customWidth="1"/>
    <col min="2" max="2" width="14.42578125" style="1" customWidth="1"/>
    <col min="3" max="3" width="47.5703125" style="1" customWidth="1"/>
    <col min="4" max="4" width="33.140625" style="1" customWidth="1"/>
    <col min="5" max="5" width="21" style="1" customWidth="1"/>
    <col min="6" max="6" width="33.5703125" style="1" bestFit="1" customWidth="1"/>
    <col min="7" max="7" width="14.7109375" style="1" bestFit="1" customWidth="1"/>
    <col min="8" max="8" width="14.42578125" style="2" customWidth="1"/>
    <col min="9" max="9" width="19.85546875" style="1" bestFit="1" customWidth="1"/>
    <col min="10" max="10" width="6.42578125" style="1" bestFit="1" customWidth="1"/>
    <col min="11" max="11" width="18.42578125" style="1" bestFit="1" customWidth="1"/>
    <col min="12" max="12" width="17.28515625" style="1" bestFit="1" customWidth="1"/>
    <col min="13" max="13" width="21.85546875" style="1" customWidth="1"/>
    <col min="14" max="14" width="14.140625" style="1" customWidth="1"/>
    <col min="15" max="15" width="17.42578125" style="1" customWidth="1"/>
    <col min="16" max="16" width="13.7109375" style="1" bestFit="1" customWidth="1"/>
    <col min="17" max="17" width="12.7109375" style="1" customWidth="1"/>
    <col min="18" max="18" width="13.42578125" style="1" bestFit="1" customWidth="1"/>
    <col min="19" max="19" width="16.42578125" style="1" customWidth="1"/>
    <col min="20" max="22" width="17.7109375" style="1" customWidth="1"/>
    <col min="23" max="23" width="28.42578125" style="1" bestFit="1" customWidth="1"/>
    <col min="24" max="24" width="49.7109375" style="1" bestFit="1" customWidth="1"/>
    <col min="25" max="16384" width="9" style="1"/>
  </cols>
  <sheetData>
    <row r="1" spans="1:25" ht="16.5" thickBot="1">
      <c r="A1" s="138" t="s">
        <v>165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40"/>
    </row>
    <row r="2" spans="1:25" ht="16.5" thickBot="1">
      <c r="A2" s="3" t="s">
        <v>0</v>
      </c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188</v>
      </c>
      <c r="L2" s="5" t="s">
        <v>187</v>
      </c>
      <c r="M2" s="5" t="s">
        <v>10</v>
      </c>
      <c r="N2" s="5" t="s">
        <v>179</v>
      </c>
      <c r="O2" s="5" t="s">
        <v>183</v>
      </c>
      <c r="P2" s="12" t="s">
        <v>11</v>
      </c>
      <c r="Q2" s="13" t="s">
        <v>12</v>
      </c>
      <c r="R2" s="18" t="s">
        <v>159</v>
      </c>
      <c r="S2" s="18" t="s">
        <v>180</v>
      </c>
      <c r="T2" s="5" t="s">
        <v>184</v>
      </c>
      <c r="U2" s="18" t="s">
        <v>185</v>
      </c>
      <c r="V2" s="5" t="s">
        <v>186</v>
      </c>
      <c r="W2" s="5" t="s">
        <v>13</v>
      </c>
      <c r="X2" s="5" t="s">
        <v>14</v>
      </c>
    </row>
    <row r="3" spans="1:25" ht="15.75" thickBot="1">
      <c r="A3" s="6">
        <v>1</v>
      </c>
      <c r="B3" s="145" t="s">
        <v>15</v>
      </c>
      <c r="C3" s="29" t="s">
        <v>16</v>
      </c>
      <c r="D3" s="70" t="s">
        <v>17</v>
      </c>
      <c r="E3" s="21" t="s">
        <v>18</v>
      </c>
      <c r="F3" s="21" t="s">
        <v>19</v>
      </c>
      <c r="G3" s="30" t="s">
        <v>20</v>
      </c>
      <c r="H3" s="31" t="s">
        <v>21</v>
      </c>
      <c r="I3" s="32" t="s">
        <v>22</v>
      </c>
      <c r="J3" s="21" t="s">
        <v>23</v>
      </c>
      <c r="K3" s="21">
        <v>4050</v>
      </c>
      <c r="L3" s="33">
        <v>2050</v>
      </c>
      <c r="M3" s="33">
        <v>4</v>
      </c>
      <c r="N3" s="106">
        <f>M3*500</f>
        <v>2000</v>
      </c>
      <c r="O3" s="106">
        <f>M3*1000</f>
        <v>4000</v>
      </c>
      <c r="P3" s="34" t="s">
        <v>24</v>
      </c>
      <c r="Q3" s="35">
        <v>6.8199999999999997E-2</v>
      </c>
      <c r="R3" s="35">
        <f>Q3*M3</f>
        <v>0.27279999999999999</v>
      </c>
      <c r="S3" s="35">
        <v>6.8199999999999997E-2</v>
      </c>
      <c r="T3" s="36">
        <f t="shared" ref="T3:T25" si="0">S3*L3</f>
        <v>139.81</v>
      </c>
      <c r="U3" s="35">
        <v>6.8199999999999997E-2</v>
      </c>
      <c r="V3" s="151">
        <f>U3*K3</f>
        <v>276.20999999999998</v>
      </c>
      <c r="W3" s="33"/>
      <c r="X3" s="37"/>
    </row>
    <row r="4" spans="1:25" ht="39" thickBot="1">
      <c r="A4" s="6">
        <v>2</v>
      </c>
      <c r="B4" s="146"/>
      <c r="C4" s="38" t="s">
        <v>25</v>
      </c>
      <c r="D4" s="90" t="s">
        <v>158</v>
      </c>
      <c r="E4" s="22" t="s">
        <v>26</v>
      </c>
      <c r="F4" s="22" t="s">
        <v>27</v>
      </c>
      <c r="G4" s="39" t="s">
        <v>28</v>
      </c>
      <c r="H4" s="40" t="s">
        <v>29</v>
      </c>
      <c r="I4" s="23" t="s">
        <v>22</v>
      </c>
      <c r="J4" s="22" t="s">
        <v>30</v>
      </c>
      <c r="K4" s="22">
        <v>24050</v>
      </c>
      <c r="L4" s="41">
        <v>12050</v>
      </c>
      <c r="M4" s="41">
        <v>24</v>
      </c>
      <c r="N4" s="41">
        <f>M4*500</f>
        <v>12000</v>
      </c>
      <c r="O4" s="41">
        <f t="shared" ref="O4:O29" si="1">M4*1000</f>
        <v>24000</v>
      </c>
      <c r="P4" s="42" t="s">
        <v>24</v>
      </c>
      <c r="Q4" s="43">
        <v>7.9000000000000008E-3</v>
      </c>
      <c r="R4" s="43">
        <f t="shared" ref="R4:R27" si="2">Q4*M4</f>
        <v>0.18960000000000002</v>
      </c>
      <c r="S4" s="43">
        <v>5.1000000000000004E-3</v>
      </c>
      <c r="T4" s="44">
        <f t="shared" si="0"/>
        <v>61.455000000000005</v>
      </c>
      <c r="U4" s="43">
        <v>5.1000000000000004E-3</v>
      </c>
      <c r="V4" s="44">
        <f t="shared" ref="V4:V26" si="3">U4*K4</f>
        <v>122.65500000000002</v>
      </c>
      <c r="W4" s="41"/>
      <c r="X4" s="45"/>
    </row>
    <row r="5" spans="1:25" ht="15.75" thickBot="1">
      <c r="A5" s="6">
        <v>3</v>
      </c>
      <c r="B5" s="146"/>
      <c r="C5" s="38" t="s">
        <v>31</v>
      </c>
      <c r="D5" s="46" t="s">
        <v>32</v>
      </c>
      <c r="E5" s="22" t="s">
        <v>18</v>
      </c>
      <c r="F5" s="16" t="s">
        <v>33</v>
      </c>
      <c r="G5" s="39" t="s">
        <v>20</v>
      </c>
      <c r="H5" s="40" t="s">
        <v>34</v>
      </c>
      <c r="I5" s="46" t="s">
        <v>35</v>
      </c>
      <c r="J5" s="22" t="s">
        <v>36</v>
      </c>
      <c r="K5" s="22">
        <v>1050</v>
      </c>
      <c r="L5" s="41">
        <v>550</v>
      </c>
      <c r="M5" s="41">
        <v>1</v>
      </c>
      <c r="N5" s="41">
        <f t="shared" ref="N5:N29" si="4">M5*500</f>
        <v>500</v>
      </c>
      <c r="O5" s="41">
        <f t="shared" si="1"/>
        <v>1000</v>
      </c>
      <c r="P5" s="42" t="s">
        <v>24</v>
      </c>
      <c r="Q5" s="43">
        <v>0.1052</v>
      </c>
      <c r="R5" s="43">
        <f t="shared" si="2"/>
        <v>0.1052</v>
      </c>
      <c r="S5" s="43">
        <v>6.7000000000000004E-2</v>
      </c>
      <c r="T5" s="44">
        <f t="shared" si="0"/>
        <v>36.85</v>
      </c>
      <c r="U5" s="43">
        <v>6.7000000000000004E-2</v>
      </c>
      <c r="V5" s="44">
        <f t="shared" si="3"/>
        <v>70.350000000000009</v>
      </c>
      <c r="W5" s="41"/>
      <c r="X5" s="45"/>
      <c r="Y5" s="15"/>
    </row>
    <row r="6" spans="1:25" ht="15.75" thickBot="1">
      <c r="A6" s="6">
        <v>4</v>
      </c>
      <c r="B6" s="146"/>
      <c r="C6" s="38" t="s">
        <v>37</v>
      </c>
      <c r="D6" s="46" t="s">
        <v>38</v>
      </c>
      <c r="E6" s="22" t="s">
        <v>26</v>
      </c>
      <c r="F6" s="16" t="s">
        <v>39</v>
      </c>
      <c r="G6" s="39" t="s">
        <v>40</v>
      </c>
      <c r="H6" s="40" t="s">
        <v>41</v>
      </c>
      <c r="I6" s="46" t="s">
        <v>42</v>
      </c>
      <c r="J6" s="22" t="s">
        <v>43</v>
      </c>
      <c r="K6" s="22">
        <v>3050</v>
      </c>
      <c r="L6" s="41">
        <v>1550</v>
      </c>
      <c r="M6" s="41">
        <v>3</v>
      </c>
      <c r="N6" s="41">
        <f t="shared" si="4"/>
        <v>1500</v>
      </c>
      <c r="O6" s="41">
        <f t="shared" si="1"/>
        <v>3000</v>
      </c>
      <c r="P6" s="19" t="s">
        <v>24</v>
      </c>
      <c r="Q6" s="47">
        <v>3.4700000000000002E-2</v>
      </c>
      <c r="R6" s="43">
        <f t="shared" si="2"/>
        <v>0.1041</v>
      </c>
      <c r="S6" s="43">
        <v>2.1600000000000001E-2</v>
      </c>
      <c r="T6" s="44">
        <f t="shared" si="0"/>
        <v>33.480000000000004</v>
      </c>
      <c r="U6" s="43">
        <v>2.1600000000000001E-2</v>
      </c>
      <c r="V6" s="44">
        <f t="shared" si="3"/>
        <v>65.88000000000001</v>
      </c>
      <c r="W6" s="41"/>
      <c r="X6" s="45"/>
      <c r="Y6" s="15"/>
    </row>
    <row r="7" spans="1:25" ht="15.75" thickBot="1">
      <c r="A7" s="6">
        <v>5</v>
      </c>
      <c r="B7" s="147"/>
      <c r="C7" s="48" t="s">
        <v>44</v>
      </c>
      <c r="D7" s="52" t="s">
        <v>45</v>
      </c>
      <c r="E7" s="49" t="s">
        <v>26</v>
      </c>
      <c r="F7" s="17" t="s">
        <v>46</v>
      </c>
      <c r="G7" s="50" t="s">
        <v>47</v>
      </c>
      <c r="H7" s="51" t="s">
        <v>48</v>
      </c>
      <c r="I7" s="52" t="s">
        <v>49</v>
      </c>
      <c r="J7" s="49" t="s">
        <v>50</v>
      </c>
      <c r="K7" s="49">
        <v>4100</v>
      </c>
      <c r="L7" s="53">
        <v>2100</v>
      </c>
      <c r="M7" s="53">
        <v>4</v>
      </c>
      <c r="N7" s="150">
        <f t="shared" si="4"/>
        <v>2000</v>
      </c>
      <c r="O7" s="150">
        <f t="shared" si="1"/>
        <v>4000</v>
      </c>
      <c r="P7" s="54" t="s">
        <v>24</v>
      </c>
      <c r="Q7" s="55">
        <v>2.5000000000000001E-3</v>
      </c>
      <c r="R7" s="56">
        <f t="shared" si="2"/>
        <v>0.01</v>
      </c>
      <c r="S7" s="56">
        <v>1.9E-3</v>
      </c>
      <c r="T7" s="57">
        <f t="shared" si="0"/>
        <v>3.99</v>
      </c>
      <c r="U7" s="56">
        <v>1.8E-3</v>
      </c>
      <c r="V7" s="152">
        <f t="shared" si="3"/>
        <v>7.38</v>
      </c>
      <c r="W7" s="27"/>
      <c r="X7" s="58"/>
      <c r="Y7" s="15"/>
    </row>
    <row r="8" spans="1:25" ht="15.75" thickBot="1">
      <c r="A8" s="6">
        <v>6</v>
      </c>
      <c r="B8" s="24" t="s">
        <v>51</v>
      </c>
      <c r="C8" s="59" t="s">
        <v>52</v>
      </c>
      <c r="D8" s="63" t="s">
        <v>53</v>
      </c>
      <c r="E8" s="60" t="s">
        <v>54</v>
      </c>
      <c r="F8" s="60" t="s">
        <v>55</v>
      </c>
      <c r="G8" s="61" t="s">
        <v>56</v>
      </c>
      <c r="H8" s="62" t="s">
        <v>57</v>
      </c>
      <c r="I8" s="63" t="s">
        <v>22</v>
      </c>
      <c r="J8" s="61" t="s">
        <v>58</v>
      </c>
      <c r="K8" s="61">
        <v>3050</v>
      </c>
      <c r="L8" s="64">
        <v>1550</v>
      </c>
      <c r="M8" s="65">
        <v>3</v>
      </c>
      <c r="N8" s="33">
        <f t="shared" si="4"/>
        <v>1500</v>
      </c>
      <c r="O8" s="33">
        <f t="shared" si="1"/>
        <v>3000</v>
      </c>
      <c r="P8" s="66" t="s">
        <v>24</v>
      </c>
      <c r="Q8" s="67">
        <v>6.8099999999999994E-2</v>
      </c>
      <c r="R8" s="67">
        <f t="shared" si="2"/>
        <v>0.20429999999999998</v>
      </c>
      <c r="S8" s="67">
        <v>4.5699999999999998E-2</v>
      </c>
      <c r="T8" s="68">
        <f t="shared" si="0"/>
        <v>70.834999999999994</v>
      </c>
      <c r="U8" s="67">
        <v>4.5699999999999998E-2</v>
      </c>
      <c r="V8" s="36">
        <f t="shared" si="3"/>
        <v>139.38499999999999</v>
      </c>
      <c r="W8" s="65"/>
      <c r="X8" s="69"/>
      <c r="Y8" s="15"/>
    </row>
    <row r="9" spans="1:25" ht="15.75" thickBot="1">
      <c r="A9" s="6">
        <v>7</v>
      </c>
      <c r="B9" s="145" t="s">
        <v>59</v>
      </c>
      <c r="C9" s="29" t="s">
        <v>60</v>
      </c>
      <c r="D9" s="70" t="s">
        <v>61</v>
      </c>
      <c r="E9" s="21" t="s">
        <v>62</v>
      </c>
      <c r="F9" s="21" t="s">
        <v>63</v>
      </c>
      <c r="G9" s="30" t="s">
        <v>64</v>
      </c>
      <c r="H9" s="31" t="s">
        <v>65</v>
      </c>
      <c r="I9" s="70" t="s">
        <v>22</v>
      </c>
      <c r="J9" s="30" t="s">
        <v>58</v>
      </c>
      <c r="K9" s="30">
        <v>5050</v>
      </c>
      <c r="L9" s="71">
        <v>2550</v>
      </c>
      <c r="M9" s="33">
        <v>5</v>
      </c>
      <c r="N9" s="33">
        <f t="shared" si="4"/>
        <v>2500</v>
      </c>
      <c r="O9" s="33">
        <f t="shared" si="1"/>
        <v>5000</v>
      </c>
      <c r="P9" s="34" t="s">
        <v>24</v>
      </c>
      <c r="Q9" s="35">
        <v>7.0000000000000001E-3</v>
      </c>
      <c r="R9" s="35">
        <f t="shared" si="2"/>
        <v>3.5000000000000003E-2</v>
      </c>
      <c r="S9" s="35">
        <v>5.0000000000000001E-3</v>
      </c>
      <c r="T9" s="36">
        <f t="shared" si="0"/>
        <v>12.75</v>
      </c>
      <c r="U9" s="35">
        <v>4.7000000000000002E-3</v>
      </c>
      <c r="V9" s="36">
        <f t="shared" si="3"/>
        <v>23.734999999999999</v>
      </c>
      <c r="W9" s="33"/>
      <c r="X9" s="37"/>
      <c r="Y9" s="15"/>
    </row>
    <row r="10" spans="1:25" ht="15.75" thickBot="1">
      <c r="A10" s="6">
        <v>8</v>
      </c>
      <c r="B10" s="147"/>
      <c r="C10" s="48" t="s">
        <v>66</v>
      </c>
      <c r="D10" s="52" t="s">
        <v>67</v>
      </c>
      <c r="E10" s="49" t="s">
        <v>68</v>
      </c>
      <c r="F10" s="49" t="s">
        <v>69</v>
      </c>
      <c r="G10" s="50" t="s">
        <v>70</v>
      </c>
      <c r="H10" s="51" t="s">
        <v>71</v>
      </c>
      <c r="I10" s="52" t="s">
        <v>22</v>
      </c>
      <c r="J10" s="50" t="s">
        <v>58</v>
      </c>
      <c r="K10" s="50">
        <v>1050</v>
      </c>
      <c r="L10" s="72">
        <v>550</v>
      </c>
      <c r="M10" s="53">
        <v>1</v>
      </c>
      <c r="N10" s="33">
        <f t="shared" si="4"/>
        <v>500</v>
      </c>
      <c r="O10" s="33">
        <f t="shared" si="1"/>
        <v>1000</v>
      </c>
      <c r="P10" s="73" t="s">
        <v>24</v>
      </c>
      <c r="Q10" s="56">
        <v>4.58E-2</v>
      </c>
      <c r="R10" s="56">
        <f t="shared" si="2"/>
        <v>4.58E-2</v>
      </c>
      <c r="S10" s="56">
        <v>3.4099999999999998E-2</v>
      </c>
      <c r="T10" s="57">
        <f t="shared" si="0"/>
        <v>18.754999999999999</v>
      </c>
      <c r="U10" s="56">
        <v>3.2199999999999999E-2</v>
      </c>
      <c r="V10" s="36">
        <f t="shared" si="3"/>
        <v>33.81</v>
      </c>
      <c r="W10" s="53"/>
      <c r="X10" s="58"/>
      <c r="Y10" s="15"/>
    </row>
    <row r="11" spans="1:25" ht="26.25" thickBot="1">
      <c r="A11" s="6">
        <v>9</v>
      </c>
      <c r="B11" s="145" t="s">
        <v>72</v>
      </c>
      <c r="C11" s="29" t="s">
        <v>73</v>
      </c>
      <c r="D11" s="91" t="s">
        <v>74</v>
      </c>
      <c r="E11" s="21" t="s">
        <v>75</v>
      </c>
      <c r="F11" s="21" t="s">
        <v>76</v>
      </c>
      <c r="G11" s="30" t="s">
        <v>28</v>
      </c>
      <c r="H11" s="31" t="s">
        <v>77</v>
      </c>
      <c r="I11" s="70" t="s">
        <v>22</v>
      </c>
      <c r="J11" s="21" t="s">
        <v>78</v>
      </c>
      <c r="K11" s="21">
        <v>12100</v>
      </c>
      <c r="L11" s="74">
        <v>6100</v>
      </c>
      <c r="M11" s="33">
        <v>12</v>
      </c>
      <c r="N11" s="106">
        <f t="shared" si="4"/>
        <v>6000</v>
      </c>
      <c r="O11" s="106">
        <f t="shared" si="1"/>
        <v>12000</v>
      </c>
      <c r="P11" s="26" t="s">
        <v>24</v>
      </c>
      <c r="Q11" s="35">
        <v>1.4E-3</v>
      </c>
      <c r="R11" s="35">
        <f t="shared" si="2"/>
        <v>1.6799999999999999E-2</v>
      </c>
      <c r="S11" s="35">
        <v>1E-3</v>
      </c>
      <c r="T11" s="36">
        <f t="shared" si="0"/>
        <v>6.1000000000000005</v>
      </c>
      <c r="U11" s="35">
        <v>8.9999999999999998E-4</v>
      </c>
      <c r="V11" s="151">
        <f t="shared" si="3"/>
        <v>10.89</v>
      </c>
      <c r="W11" s="33"/>
      <c r="X11" s="37"/>
      <c r="Y11" s="15"/>
    </row>
    <row r="12" spans="1:25" ht="15.75" thickBot="1">
      <c r="A12" s="6">
        <v>10</v>
      </c>
      <c r="B12" s="146"/>
      <c r="C12" s="38" t="s">
        <v>79</v>
      </c>
      <c r="D12" s="46" t="s">
        <v>80</v>
      </c>
      <c r="E12" s="22" t="s">
        <v>75</v>
      </c>
      <c r="F12" s="22" t="s">
        <v>81</v>
      </c>
      <c r="G12" s="39" t="s">
        <v>28</v>
      </c>
      <c r="H12" s="40" t="s">
        <v>82</v>
      </c>
      <c r="I12" s="46" t="s">
        <v>22</v>
      </c>
      <c r="J12" s="22" t="s">
        <v>83</v>
      </c>
      <c r="K12" s="22">
        <v>3100</v>
      </c>
      <c r="L12" s="75">
        <v>1600</v>
      </c>
      <c r="M12" s="41">
        <v>3</v>
      </c>
      <c r="N12" s="41">
        <f t="shared" si="4"/>
        <v>1500</v>
      </c>
      <c r="O12" s="41">
        <f t="shared" si="1"/>
        <v>3000</v>
      </c>
      <c r="P12" s="19" t="s">
        <v>24</v>
      </c>
      <c r="Q12" s="43">
        <v>1.4E-3</v>
      </c>
      <c r="R12" s="43">
        <f t="shared" si="2"/>
        <v>4.1999999999999997E-3</v>
      </c>
      <c r="S12" s="43">
        <v>1E-3</v>
      </c>
      <c r="T12" s="44">
        <f t="shared" si="0"/>
        <v>1.6</v>
      </c>
      <c r="U12" s="43">
        <v>8.9999999999999998E-4</v>
      </c>
      <c r="V12" s="44">
        <f t="shared" si="3"/>
        <v>2.79</v>
      </c>
      <c r="W12" s="41"/>
      <c r="X12" s="45"/>
      <c r="Y12" s="15"/>
    </row>
    <row r="13" spans="1:25" ht="15.75" thickBot="1">
      <c r="A13" s="6">
        <v>11</v>
      </c>
      <c r="B13" s="146"/>
      <c r="C13" s="38" t="s">
        <v>84</v>
      </c>
      <c r="D13" s="46" t="s">
        <v>85</v>
      </c>
      <c r="E13" s="22" t="s">
        <v>75</v>
      </c>
      <c r="F13" s="22" t="s">
        <v>86</v>
      </c>
      <c r="G13" s="39" t="s">
        <v>28</v>
      </c>
      <c r="H13" s="40" t="s">
        <v>87</v>
      </c>
      <c r="I13" s="46" t="s">
        <v>22</v>
      </c>
      <c r="J13" s="22" t="s">
        <v>88</v>
      </c>
      <c r="K13" s="22">
        <v>1100</v>
      </c>
      <c r="L13" s="75">
        <v>600</v>
      </c>
      <c r="M13" s="41">
        <v>1</v>
      </c>
      <c r="N13" s="41">
        <f t="shared" si="4"/>
        <v>500</v>
      </c>
      <c r="O13" s="41">
        <f t="shared" si="1"/>
        <v>1000</v>
      </c>
      <c r="P13" s="76" t="s">
        <v>24</v>
      </c>
      <c r="Q13" s="77">
        <v>1.4E-3</v>
      </c>
      <c r="R13" s="43">
        <f t="shared" si="2"/>
        <v>1.4E-3</v>
      </c>
      <c r="S13" s="43">
        <v>1.4E-3</v>
      </c>
      <c r="T13" s="44">
        <f t="shared" si="0"/>
        <v>0.84</v>
      </c>
      <c r="U13" s="43">
        <v>1.1000000000000001E-3</v>
      </c>
      <c r="V13" s="44">
        <f t="shared" si="3"/>
        <v>1.21</v>
      </c>
      <c r="W13" s="75"/>
      <c r="X13" s="45"/>
      <c r="Y13" s="15"/>
    </row>
    <row r="14" spans="1:25" ht="15.75" thickBot="1">
      <c r="A14" s="6">
        <v>12</v>
      </c>
      <c r="B14" s="146"/>
      <c r="C14" s="38" t="s">
        <v>89</v>
      </c>
      <c r="D14" s="46" t="s">
        <v>90</v>
      </c>
      <c r="E14" s="22" t="s">
        <v>75</v>
      </c>
      <c r="F14" s="22" t="s">
        <v>91</v>
      </c>
      <c r="G14" s="39" t="s">
        <v>28</v>
      </c>
      <c r="H14" s="40" t="s">
        <v>92</v>
      </c>
      <c r="I14" s="46" t="s">
        <v>22</v>
      </c>
      <c r="J14" s="22" t="s">
        <v>93</v>
      </c>
      <c r="K14" s="22">
        <v>4100</v>
      </c>
      <c r="L14" s="75">
        <v>2100</v>
      </c>
      <c r="M14" s="41">
        <v>4</v>
      </c>
      <c r="N14" s="41">
        <f t="shared" si="4"/>
        <v>2000</v>
      </c>
      <c r="O14" s="41">
        <f t="shared" si="1"/>
        <v>4000</v>
      </c>
      <c r="P14" s="19" t="s">
        <v>24</v>
      </c>
      <c r="Q14" s="43">
        <v>1.1999999999999999E-3</v>
      </c>
      <c r="R14" s="43">
        <f t="shared" si="2"/>
        <v>4.7999999999999996E-3</v>
      </c>
      <c r="S14" s="43">
        <v>8.9999999999999998E-4</v>
      </c>
      <c r="T14" s="44">
        <f t="shared" si="0"/>
        <v>1.89</v>
      </c>
      <c r="U14" s="43">
        <v>8.9999999999999998E-4</v>
      </c>
      <c r="V14" s="44">
        <f t="shared" si="3"/>
        <v>3.69</v>
      </c>
      <c r="W14" s="41"/>
      <c r="X14" s="45"/>
      <c r="Y14" s="15"/>
    </row>
    <row r="15" spans="1:25" ht="15.75" thickBot="1">
      <c r="A15" s="6">
        <v>13</v>
      </c>
      <c r="B15" s="148"/>
      <c r="C15" s="92" t="s">
        <v>94</v>
      </c>
      <c r="D15" s="90" t="s">
        <v>95</v>
      </c>
      <c r="E15" s="93" t="s">
        <v>75</v>
      </c>
      <c r="F15" s="93" t="s">
        <v>96</v>
      </c>
      <c r="G15" s="39" t="s">
        <v>28</v>
      </c>
      <c r="H15" s="40" t="s">
        <v>97</v>
      </c>
      <c r="I15" s="46" t="s">
        <v>22</v>
      </c>
      <c r="J15" s="93" t="s">
        <v>98</v>
      </c>
      <c r="K15" s="93">
        <v>2100</v>
      </c>
      <c r="L15" s="75">
        <v>1100</v>
      </c>
      <c r="M15" s="93">
        <v>2</v>
      </c>
      <c r="N15" s="41">
        <f t="shared" si="4"/>
        <v>1000</v>
      </c>
      <c r="O15" s="41">
        <f t="shared" si="1"/>
        <v>2000</v>
      </c>
      <c r="P15" s="94" t="s">
        <v>24</v>
      </c>
      <c r="Q15" s="43">
        <v>1.1999999999999999E-3</v>
      </c>
      <c r="R15" s="43">
        <f t="shared" si="2"/>
        <v>2.3999999999999998E-3</v>
      </c>
      <c r="S15" s="43">
        <v>8.9999999999999998E-4</v>
      </c>
      <c r="T15" s="44">
        <f t="shared" si="0"/>
        <v>0.99</v>
      </c>
      <c r="U15" s="43">
        <v>8.9999999999999998E-4</v>
      </c>
      <c r="V15" s="44">
        <f t="shared" si="3"/>
        <v>1.89</v>
      </c>
      <c r="W15" s="41"/>
      <c r="X15" s="45"/>
      <c r="Y15" s="15"/>
    </row>
    <row r="16" spans="1:25" ht="15.75" thickBot="1">
      <c r="A16" s="6">
        <v>14</v>
      </c>
      <c r="B16" s="148"/>
      <c r="C16" s="92" t="s">
        <v>99</v>
      </c>
      <c r="D16" s="90" t="s">
        <v>100</v>
      </c>
      <c r="E16" s="93" t="s">
        <v>75</v>
      </c>
      <c r="F16" s="93" t="s">
        <v>101</v>
      </c>
      <c r="G16" s="39" t="s">
        <v>28</v>
      </c>
      <c r="H16" s="40" t="s">
        <v>102</v>
      </c>
      <c r="I16" s="46" t="s">
        <v>22</v>
      </c>
      <c r="J16" s="93" t="s">
        <v>103</v>
      </c>
      <c r="K16" s="93">
        <v>1100</v>
      </c>
      <c r="L16" s="75">
        <v>600</v>
      </c>
      <c r="M16" s="93">
        <v>1</v>
      </c>
      <c r="N16" s="41">
        <f t="shared" si="4"/>
        <v>500</v>
      </c>
      <c r="O16" s="41">
        <f t="shared" si="1"/>
        <v>1000</v>
      </c>
      <c r="P16" s="94" t="s">
        <v>24</v>
      </c>
      <c r="Q16" s="43">
        <v>1.5E-3</v>
      </c>
      <c r="R16" s="43">
        <f t="shared" si="2"/>
        <v>1.5E-3</v>
      </c>
      <c r="S16" s="43">
        <v>1.5E-3</v>
      </c>
      <c r="T16" s="44">
        <f t="shared" si="0"/>
        <v>0.9</v>
      </c>
      <c r="U16" s="43">
        <v>1.1999999999999999E-3</v>
      </c>
      <c r="V16" s="44">
        <f t="shared" si="3"/>
        <v>1.3199999999999998</v>
      </c>
      <c r="W16" s="41"/>
      <c r="X16" s="45"/>
      <c r="Y16" s="15"/>
    </row>
    <row r="17" spans="1:25" ht="15.75" thickBot="1">
      <c r="A17" s="6">
        <v>15</v>
      </c>
      <c r="B17" s="147"/>
      <c r="C17" s="48" t="s">
        <v>104</v>
      </c>
      <c r="D17" s="52" t="s">
        <v>105</v>
      </c>
      <c r="E17" s="49" t="s">
        <v>75</v>
      </c>
      <c r="F17" s="49" t="s">
        <v>106</v>
      </c>
      <c r="G17" s="50" t="s">
        <v>107</v>
      </c>
      <c r="H17" s="51" t="s">
        <v>108</v>
      </c>
      <c r="I17" s="52" t="s">
        <v>22</v>
      </c>
      <c r="J17" s="49" t="s">
        <v>109</v>
      </c>
      <c r="K17" s="49">
        <v>1040</v>
      </c>
      <c r="L17" s="53">
        <v>540</v>
      </c>
      <c r="M17" s="53">
        <v>1</v>
      </c>
      <c r="N17" s="150">
        <f t="shared" si="4"/>
        <v>500</v>
      </c>
      <c r="O17" s="150">
        <f t="shared" si="1"/>
        <v>1000</v>
      </c>
      <c r="P17" s="54" t="s">
        <v>24</v>
      </c>
      <c r="Q17" s="56">
        <v>1.37E-2</v>
      </c>
      <c r="R17" s="56">
        <f t="shared" si="2"/>
        <v>1.37E-2</v>
      </c>
      <c r="S17" s="56">
        <v>1.06E-2</v>
      </c>
      <c r="T17" s="57">
        <f t="shared" si="0"/>
        <v>5.7240000000000002</v>
      </c>
      <c r="U17" s="56">
        <v>0.01</v>
      </c>
      <c r="V17" s="152">
        <f t="shared" si="3"/>
        <v>10.4</v>
      </c>
      <c r="W17" s="53"/>
      <c r="X17" s="58"/>
      <c r="Y17" s="15"/>
    </row>
    <row r="18" spans="1:25" ht="15.75" thickBot="1">
      <c r="A18" s="6">
        <v>16</v>
      </c>
      <c r="B18" s="24" t="s">
        <v>110</v>
      </c>
      <c r="C18" s="78" t="s">
        <v>111</v>
      </c>
      <c r="D18" s="63" t="s">
        <v>112</v>
      </c>
      <c r="E18" s="63" t="s">
        <v>113</v>
      </c>
      <c r="F18" s="63" t="s">
        <v>114</v>
      </c>
      <c r="G18" s="25" t="s">
        <v>115</v>
      </c>
      <c r="H18" s="25" t="s">
        <v>22</v>
      </c>
      <c r="I18" s="63" t="s">
        <v>22</v>
      </c>
      <c r="J18" s="25" t="s">
        <v>58</v>
      </c>
      <c r="K18" s="25">
        <v>1050</v>
      </c>
      <c r="L18" s="79">
        <v>550</v>
      </c>
      <c r="M18" s="65">
        <v>1</v>
      </c>
      <c r="N18" s="33">
        <f t="shared" si="4"/>
        <v>500</v>
      </c>
      <c r="O18" s="33">
        <f t="shared" si="1"/>
        <v>1000</v>
      </c>
      <c r="P18" s="66" t="s">
        <v>24</v>
      </c>
      <c r="Q18" s="67">
        <v>8.5500000000000007E-2</v>
      </c>
      <c r="R18" s="67">
        <f t="shared" si="2"/>
        <v>8.5500000000000007E-2</v>
      </c>
      <c r="S18" s="67">
        <v>4.8099999999999997E-2</v>
      </c>
      <c r="T18" s="68">
        <f t="shared" si="0"/>
        <v>26.454999999999998</v>
      </c>
      <c r="U18" s="67">
        <v>4.8099999999999997E-2</v>
      </c>
      <c r="V18" s="36">
        <f t="shared" si="3"/>
        <v>50.504999999999995</v>
      </c>
      <c r="W18" s="65"/>
      <c r="X18" s="69"/>
      <c r="Y18" s="15"/>
    </row>
    <row r="19" spans="1:25" ht="15.75" thickBot="1">
      <c r="A19" s="6">
        <v>17</v>
      </c>
      <c r="B19" s="145" t="s">
        <v>116</v>
      </c>
      <c r="C19" s="29" t="s">
        <v>117</v>
      </c>
      <c r="D19" s="21" t="s">
        <v>118</v>
      </c>
      <c r="E19" s="33" t="s">
        <v>166</v>
      </c>
      <c r="F19" s="21" t="s">
        <v>119</v>
      </c>
      <c r="G19" s="71" t="s">
        <v>167</v>
      </c>
      <c r="H19" s="30" t="s">
        <v>162</v>
      </c>
      <c r="I19" s="30" t="s">
        <v>168</v>
      </c>
      <c r="J19" s="30" t="s">
        <v>58</v>
      </c>
      <c r="K19" s="30">
        <v>1010</v>
      </c>
      <c r="L19" s="71">
        <v>510</v>
      </c>
      <c r="M19" s="95">
        <v>1</v>
      </c>
      <c r="N19" s="106">
        <f t="shared" si="4"/>
        <v>500</v>
      </c>
      <c r="O19" s="106">
        <f t="shared" si="1"/>
        <v>1000</v>
      </c>
      <c r="P19" s="118" t="s">
        <v>142</v>
      </c>
      <c r="Q19" s="119">
        <v>21.26</v>
      </c>
      <c r="R19" s="35">
        <f t="shared" si="2"/>
        <v>21.26</v>
      </c>
      <c r="S19" s="119">
        <v>21.26</v>
      </c>
      <c r="T19" s="36">
        <f t="shared" si="0"/>
        <v>10842.6</v>
      </c>
      <c r="U19" s="119">
        <v>21.26</v>
      </c>
      <c r="V19" s="151">
        <f t="shared" si="3"/>
        <v>21472.600000000002</v>
      </c>
      <c r="W19" s="33"/>
      <c r="X19" s="37"/>
      <c r="Y19" s="15"/>
    </row>
    <row r="20" spans="1:25" ht="15.75" thickBot="1">
      <c r="A20" s="6">
        <v>18</v>
      </c>
      <c r="B20" s="146"/>
      <c r="C20" s="80" t="s">
        <v>120</v>
      </c>
      <c r="D20" s="46" t="s">
        <v>121</v>
      </c>
      <c r="E20" s="46" t="s">
        <v>122</v>
      </c>
      <c r="F20" s="46" t="s">
        <v>123</v>
      </c>
      <c r="G20" s="23" t="s">
        <v>124</v>
      </c>
      <c r="H20" s="39" t="s">
        <v>22</v>
      </c>
      <c r="I20" s="46" t="s">
        <v>22</v>
      </c>
      <c r="J20" s="23" t="s">
        <v>58</v>
      </c>
      <c r="K20" s="23">
        <v>1010</v>
      </c>
      <c r="L20" s="40">
        <v>510</v>
      </c>
      <c r="M20" s="41">
        <v>1</v>
      </c>
      <c r="N20" s="41">
        <f t="shared" si="4"/>
        <v>500</v>
      </c>
      <c r="O20" s="41">
        <f t="shared" si="1"/>
        <v>1000</v>
      </c>
      <c r="P20" s="118" t="s">
        <v>194</v>
      </c>
      <c r="Q20" s="43">
        <v>0.35243799999999997</v>
      </c>
      <c r="R20" s="43">
        <f t="shared" si="2"/>
        <v>0.35243799999999997</v>
      </c>
      <c r="S20" s="43">
        <v>0.28717100000000001</v>
      </c>
      <c r="T20" s="44">
        <f t="shared" si="0"/>
        <v>146.45721</v>
      </c>
      <c r="U20" s="43">
        <v>0.28717100000000001</v>
      </c>
      <c r="V20" s="44">
        <f t="shared" si="3"/>
        <v>290.04271</v>
      </c>
      <c r="W20" s="41"/>
      <c r="X20" s="45"/>
      <c r="Y20" s="15"/>
    </row>
    <row r="21" spans="1:25" ht="15.75" thickBot="1">
      <c r="A21" s="6">
        <v>19</v>
      </c>
      <c r="B21" s="146"/>
      <c r="C21" s="38" t="s">
        <v>125</v>
      </c>
      <c r="D21" s="22" t="s">
        <v>126</v>
      </c>
      <c r="E21" s="22" t="s">
        <v>122</v>
      </c>
      <c r="F21" s="22" t="s">
        <v>127</v>
      </c>
      <c r="G21" s="39" t="s">
        <v>128</v>
      </c>
      <c r="H21" s="39" t="s">
        <v>22</v>
      </c>
      <c r="I21" s="22" t="s">
        <v>22</v>
      </c>
      <c r="J21" s="39" t="s">
        <v>58</v>
      </c>
      <c r="K21" s="39">
        <v>1010</v>
      </c>
      <c r="L21" s="115">
        <v>510</v>
      </c>
      <c r="M21" s="96">
        <v>1</v>
      </c>
      <c r="N21" s="41">
        <f t="shared" si="4"/>
        <v>500</v>
      </c>
      <c r="O21" s="41">
        <f t="shared" si="1"/>
        <v>1000</v>
      </c>
      <c r="P21" s="120" t="s">
        <v>147</v>
      </c>
      <c r="Q21" s="121">
        <v>2.7839999999999998</v>
      </c>
      <c r="R21" s="43">
        <f t="shared" si="2"/>
        <v>2.7839999999999998</v>
      </c>
      <c r="S21" s="43">
        <v>2.7839999999999998</v>
      </c>
      <c r="T21" s="44">
        <f t="shared" si="0"/>
        <v>1419.84</v>
      </c>
      <c r="U21" s="43">
        <v>2.7839999999999998</v>
      </c>
      <c r="V21" s="44">
        <f t="shared" si="3"/>
        <v>2811.8399999999997</v>
      </c>
      <c r="W21" s="122" t="s">
        <v>160</v>
      </c>
      <c r="X21" s="45">
        <v>1.1904999999999999</v>
      </c>
      <c r="Y21" s="15"/>
    </row>
    <row r="22" spans="1:25" ht="15.75" thickBot="1">
      <c r="A22" s="6">
        <v>20</v>
      </c>
      <c r="B22" s="147"/>
      <c r="C22" s="48" t="s">
        <v>129</v>
      </c>
      <c r="D22" s="49" t="s">
        <v>130</v>
      </c>
      <c r="E22" s="49" t="s">
        <v>131</v>
      </c>
      <c r="F22" s="49" t="s">
        <v>132</v>
      </c>
      <c r="G22" s="49" t="s">
        <v>133</v>
      </c>
      <c r="H22" s="49" t="s">
        <v>134</v>
      </c>
      <c r="I22" s="49" t="s">
        <v>22</v>
      </c>
      <c r="J22" s="50" t="s">
        <v>58</v>
      </c>
      <c r="K22" s="50">
        <v>1010</v>
      </c>
      <c r="L22" s="72">
        <v>510</v>
      </c>
      <c r="M22" s="97">
        <v>1</v>
      </c>
      <c r="N22" s="150">
        <f t="shared" si="4"/>
        <v>500</v>
      </c>
      <c r="O22" s="150">
        <f t="shared" si="1"/>
        <v>1000</v>
      </c>
      <c r="P22" s="123" t="s">
        <v>147</v>
      </c>
      <c r="Q22" s="56">
        <v>0.4</v>
      </c>
      <c r="R22" s="56">
        <f t="shared" si="2"/>
        <v>0.4</v>
      </c>
      <c r="S22" s="56">
        <v>0.4</v>
      </c>
      <c r="T22" s="57">
        <f t="shared" si="0"/>
        <v>204</v>
      </c>
      <c r="U22" s="56">
        <v>0.4</v>
      </c>
      <c r="V22" s="152">
        <f t="shared" si="3"/>
        <v>404</v>
      </c>
      <c r="W22" s="124" t="s">
        <v>160</v>
      </c>
      <c r="X22" s="58">
        <v>0.79400000000000004</v>
      </c>
      <c r="Y22" s="15"/>
    </row>
    <row r="23" spans="1:25" ht="15.75" thickBot="1">
      <c r="A23" s="6">
        <v>21</v>
      </c>
      <c r="B23" s="145" t="s">
        <v>135</v>
      </c>
      <c r="C23" s="29" t="s">
        <v>136</v>
      </c>
      <c r="D23" s="21" t="s">
        <v>137</v>
      </c>
      <c r="E23" s="21" t="s">
        <v>113</v>
      </c>
      <c r="F23" s="16" t="s">
        <v>138</v>
      </c>
      <c r="G23" s="33" t="s">
        <v>175</v>
      </c>
      <c r="H23" s="33" t="s">
        <v>182</v>
      </c>
      <c r="I23" s="71" t="s">
        <v>181</v>
      </c>
      <c r="J23" s="71"/>
      <c r="K23" s="71">
        <v>1020</v>
      </c>
      <c r="L23" s="71">
        <v>520</v>
      </c>
      <c r="M23" s="95">
        <v>1</v>
      </c>
      <c r="N23" s="33">
        <f t="shared" si="4"/>
        <v>500</v>
      </c>
      <c r="O23" s="33">
        <f t="shared" si="1"/>
        <v>1000</v>
      </c>
      <c r="P23" s="125" t="s">
        <v>24</v>
      </c>
      <c r="Q23" s="35">
        <v>0.1077</v>
      </c>
      <c r="R23" s="35">
        <f t="shared" si="2"/>
        <v>0.1077</v>
      </c>
      <c r="S23" s="35">
        <v>6.3600000000000004E-2</v>
      </c>
      <c r="T23" s="36">
        <f t="shared" si="0"/>
        <v>33.072000000000003</v>
      </c>
      <c r="U23" s="35">
        <v>6.3600000000000004E-2</v>
      </c>
      <c r="V23" s="36">
        <f t="shared" si="3"/>
        <v>64.872</v>
      </c>
      <c r="W23" s="126"/>
      <c r="X23" s="37" t="s">
        <v>193</v>
      </c>
      <c r="Y23" s="15"/>
    </row>
    <row r="24" spans="1:25" ht="15.75" thickBot="1">
      <c r="A24" s="6">
        <v>22</v>
      </c>
      <c r="B24" s="147"/>
      <c r="C24" s="48" t="s">
        <v>139</v>
      </c>
      <c r="D24" s="49" t="s">
        <v>140</v>
      </c>
      <c r="E24" s="49" t="s">
        <v>113</v>
      </c>
      <c r="F24" s="49" t="s">
        <v>141</v>
      </c>
      <c r="G24" s="49" t="s">
        <v>162</v>
      </c>
      <c r="H24" s="49" t="s">
        <v>22</v>
      </c>
      <c r="I24" s="49" t="s">
        <v>162</v>
      </c>
      <c r="J24" s="49" t="s">
        <v>163</v>
      </c>
      <c r="K24" s="49">
        <v>1020</v>
      </c>
      <c r="L24" s="72">
        <v>520</v>
      </c>
      <c r="M24" s="97">
        <v>1</v>
      </c>
      <c r="N24" s="33">
        <f t="shared" si="4"/>
        <v>500</v>
      </c>
      <c r="O24" s="33">
        <f t="shared" si="1"/>
        <v>1000</v>
      </c>
      <c r="P24" s="123" t="s">
        <v>142</v>
      </c>
      <c r="Q24" s="127">
        <v>0.86619999999999997</v>
      </c>
      <c r="R24" s="56">
        <f t="shared" si="2"/>
        <v>0.86619999999999997</v>
      </c>
      <c r="S24" s="127">
        <v>0.86619999999999997</v>
      </c>
      <c r="T24" s="57">
        <f t="shared" si="0"/>
        <v>450.42399999999998</v>
      </c>
      <c r="U24" s="127">
        <v>0.86619999999999997</v>
      </c>
      <c r="V24" s="36">
        <f t="shared" si="3"/>
        <v>883.524</v>
      </c>
      <c r="W24" s="128"/>
      <c r="X24" s="58"/>
      <c r="Y24" s="15"/>
    </row>
    <row r="25" spans="1:25" ht="39" customHeight="1" thickBot="1">
      <c r="A25" s="6">
        <v>23</v>
      </c>
      <c r="B25" s="149" t="s">
        <v>143</v>
      </c>
      <c r="C25" s="116" t="s">
        <v>169</v>
      </c>
      <c r="D25" s="117" t="s">
        <v>171</v>
      </c>
      <c r="E25" s="117" t="s">
        <v>144</v>
      </c>
      <c r="F25" s="117" t="s">
        <v>145</v>
      </c>
      <c r="G25" s="117" t="s">
        <v>146</v>
      </c>
      <c r="H25" s="117" t="s">
        <v>162</v>
      </c>
      <c r="I25" s="117" t="s">
        <v>22</v>
      </c>
      <c r="J25" s="117" t="s">
        <v>163</v>
      </c>
      <c r="K25" s="117">
        <v>140</v>
      </c>
      <c r="L25" s="33">
        <v>70</v>
      </c>
      <c r="M25" s="95">
        <v>1</v>
      </c>
      <c r="N25" s="106">
        <f t="shared" si="4"/>
        <v>500</v>
      </c>
      <c r="O25" s="106">
        <f t="shared" si="1"/>
        <v>1000</v>
      </c>
      <c r="P25" s="118" t="s">
        <v>147</v>
      </c>
      <c r="Q25" s="35">
        <v>0.48</v>
      </c>
      <c r="R25" s="35">
        <v>0.48</v>
      </c>
      <c r="S25" s="35">
        <v>0.48</v>
      </c>
      <c r="T25" s="36">
        <f t="shared" si="0"/>
        <v>33.6</v>
      </c>
      <c r="U25" s="35">
        <v>0.48</v>
      </c>
      <c r="V25" s="151">
        <f t="shared" si="3"/>
        <v>67.2</v>
      </c>
      <c r="W25" s="129" t="s">
        <v>192</v>
      </c>
      <c r="X25" s="37"/>
      <c r="Y25" s="15"/>
    </row>
    <row r="26" spans="1:25" ht="15.75" thickBot="1">
      <c r="A26" s="6">
        <v>24</v>
      </c>
      <c r="B26" s="149"/>
      <c r="C26" s="38" t="s">
        <v>170</v>
      </c>
      <c r="D26" s="117" t="s">
        <v>173</v>
      </c>
      <c r="E26" s="22" t="s">
        <v>172</v>
      </c>
      <c r="F26" s="22" t="s">
        <v>174</v>
      </c>
      <c r="G26" s="22" t="s">
        <v>146</v>
      </c>
      <c r="H26" s="117" t="s">
        <v>162</v>
      </c>
      <c r="I26" s="117" t="s">
        <v>168</v>
      </c>
      <c r="J26" s="117" t="s">
        <v>163</v>
      </c>
      <c r="K26" s="117">
        <v>180</v>
      </c>
      <c r="L26" s="41">
        <v>90</v>
      </c>
      <c r="M26" s="96">
        <v>1</v>
      </c>
      <c r="N26" s="41">
        <f t="shared" si="4"/>
        <v>500</v>
      </c>
      <c r="O26" s="41">
        <f t="shared" si="1"/>
        <v>1000</v>
      </c>
      <c r="P26" s="130" t="s">
        <v>147</v>
      </c>
      <c r="Q26" s="131">
        <v>0.48</v>
      </c>
      <c r="R26" s="131">
        <v>0.48</v>
      </c>
      <c r="S26" s="131">
        <v>0.48</v>
      </c>
      <c r="T26" s="132">
        <f t="shared" ref="T26" si="5">S26*L26</f>
        <v>43.199999999999996</v>
      </c>
      <c r="U26" s="131">
        <v>0.48</v>
      </c>
      <c r="V26" s="44">
        <f t="shared" si="3"/>
        <v>86.399999999999991</v>
      </c>
      <c r="W26" s="133"/>
      <c r="X26" s="45"/>
      <c r="Y26" s="15"/>
    </row>
    <row r="27" spans="1:25" ht="15.75" thickBot="1">
      <c r="A27" s="6">
        <v>25</v>
      </c>
      <c r="B27" s="146"/>
      <c r="C27" s="38" t="s">
        <v>176</v>
      </c>
      <c r="D27" s="22" t="s">
        <v>148</v>
      </c>
      <c r="E27" s="22" t="s">
        <v>113</v>
      </c>
      <c r="F27" s="22" t="s">
        <v>177</v>
      </c>
      <c r="G27" s="22" t="s">
        <v>178</v>
      </c>
      <c r="H27" s="22" t="s">
        <v>164</v>
      </c>
      <c r="I27" s="22" t="s">
        <v>161</v>
      </c>
      <c r="J27" s="22" t="s">
        <v>163</v>
      </c>
      <c r="K27" s="22">
        <v>1020</v>
      </c>
      <c r="L27" s="41">
        <v>520</v>
      </c>
      <c r="M27" s="96">
        <v>1</v>
      </c>
      <c r="N27" s="41">
        <f t="shared" si="4"/>
        <v>500</v>
      </c>
      <c r="O27" s="41">
        <f t="shared" si="1"/>
        <v>1000</v>
      </c>
      <c r="P27" s="123" t="s">
        <v>147</v>
      </c>
      <c r="Q27" s="43">
        <v>0.45</v>
      </c>
      <c r="R27" s="43">
        <f t="shared" si="2"/>
        <v>0.45</v>
      </c>
      <c r="S27" s="43">
        <v>0.45</v>
      </c>
      <c r="T27" s="44">
        <f>S27*L27</f>
        <v>234</v>
      </c>
      <c r="U27" s="43">
        <v>0.45</v>
      </c>
      <c r="V27" s="152">
        <f>U27*K27</f>
        <v>459</v>
      </c>
      <c r="W27" s="41" t="s">
        <v>191</v>
      </c>
      <c r="X27" s="45"/>
      <c r="Y27" s="15"/>
    </row>
    <row r="28" spans="1:25" ht="15.75" thickBot="1">
      <c r="A28" s="6">
        <v>26</v>
      </c>
      <c r="B28" s="146"/>
      <c r="C28" s="81" t="s">
        <v>149</v>
      </c>
      <c r="D28" s="20" t="s">
        <v>150</v>
      </c>
      <c r="E28" s="20" t="s">
        <v>151</v>
      </c>
      <c r="F28" s="82" t="s">
        <v>151</v>
      </c>
      <c r="G28" s="20" t="s">
        <v>161</v>
      </c>
      <c r="H28" s="20" t="s">
        <v>161</v>
      </c>
      <c r="I28" s="20" t="s">
        <v>161</v>
      </c>
      <c r="J28" s="20" t="s">
        <v>162</v>
      </c>
      <c r="K28" s="20" t="s">
        <v>161</v>
      </c>
      <c r="L28" s="20" t="s">
        <v>161</v>
      </c>
      <c r="M28" s="83">
        <v>5</v>
      </c>
      <c r="N28" s="41">
        <f t="shared" si="4"/>
        <v>2500</v>
      </c>
      <c r="O28" s="41">
        <f t="shared" si="1"/>
        <v>5000</v>
      </c>
      <c r="P28" s="20" t="s">
        <v>161</v>
      </c>
      <c r="Q28" s="20" t="s">
        <v>161</v>
      </c>
      <c r="R28" s="20" t="s">
        <v>161</v>
      </c>
      <c r="S28" s="20" t="s">
        <v>161</v>
      </c>
      <c r="T28" s="20" t="s">
        <v>161</v>
      </c>
      <c r="U28" s="20"/>
      <c r="V28" s="20"/>
      <c r="W28" s="84" t="s">
        <v>152</v>
      </c>
      <c r="X28" s="85"/>
      <c r="Y28" s="15"/>
    </row>
    <row r="29" spans="1:25" ht="15.75" thickBot="1">
      <c r="A29" s="98">
        <v>27</v>
      </c>
      <c r="B29" s="147"/>
      <c r="C29" s="86" t="s">
        <v>153</v>
      </c>
      <c r="D29" s="87" t="s">
        <v>154</v>
      </c>
      <c r="E29" s="28" t="s">
        <v>155</v>
      </c>
      <c r="F29" s="87" t="s">
        <v>155</v>
      </c>
      <c r="G29" s="28" t="s">
        <v>161</v>
      </c>
      <c r="H29" s="28" t="s">
        <v>161</v>
      </c>
      <c r="I29" s="28" t="s">
        <v>161</v>
      </c>
      <c r="J29" s="28" t="s">
        <v>162</v>
      </c>
      <c r="K29" s="28" t="s">
        <v>161</v>
      </c>
      <c r="L29" s="28" t="s">
        <v>161</v>
      </c>
      <c r="M29" s="105">
        <v>3</v>
      </c>
      <c r="N29" s="65">
        <f t="shared" si="4"/>
        <v>1500</v>
      </c>
      <c r="O29" s="65">
        <f t="shared" si="1"/>
        <v>3000</v>
      </c>
      <c r="P29" s="107" t="s">
        <v>161</v>
      </c>
      <c r="Q29" s="107" t="s">
        <v>161</v>
      </c>
      <c r="R29" s="107" t="s">
        <v>161</v>
      </c>
      <c r="S29" s="107" t="s">
        <v>161</v>
      </c>
      <c r="T29" s="107" t="s">
        <v>161</v>
      </c>
      <c r="U29" s="107"/>
      <c r="V29" s="107"/>
      <c r="W29" s="88" t="s">
        <v>152</v>
      </c>
      <c r="X29" s="89"/>
      <c r="Y29" s="15"/>
    </row>
    <row r="30" spans="1:25" ht="16.5" thickTop="1">
      <c r="A30" s="1"/>
      <c r="C30" s="7"/>
      <c r="D30" s="8"/>
      <c r="E30" s="7"/>
      <c r="G30" s="7"/>
      <c r="H30" s="7"/>
      <c r="I30" s="7"/>
      <c r="J30" s="7"/>
      <c r="K30" s="7"/>
      <c r="L30" s="7"/>
      <c r="M30" s="141" t="s">
        <v>156</v>
      </c>
      <c r="N30" s="142"/>
      <c r="O30" s="142"/>
      <c r="P30" s="142"/>
      <c r="Q30" s="142"/>
      <c r="R30" s="110">
        <f>SUM(R3:R27)</f>
        <v>28.277438</v>
      </c>
      <c r="S30" s="100"/>
      <c r="T30" s="111">
        <f>SUM(T3:T27)</f>
        <v>13829.617210000002</v>
      </c>
      <c r="U30" s="111"/>
      <c r="V30" s="112">
        <f>SUM(V3:V27)</f>
        <v>27361.578710000005</v>
      </c>
      <c r="W30" s="7"/>
      <c r="X30" s="7"/>
      <c r="Y30" s="15"/>
    </row>
    <row r="31" spans="1:25" ht="16.5" thickBot="1">
      <c r="A31" s="1"/>
      <c r="C31" s="7"/>
      <c r="E31" s="9"/>
      <c r="F31" s="9"/>
      <c r="G31" s="7"/>
      <c r="H31" s="7"/>
      <c r="I31" s="7"/>
      <c r="J31" s="7"/>
      <c r="K31" s="7"/>
      <c r="L31" s="7"/>
      <c r="M31" s="143" t="s">
        <v>157</v>
      </c>
      <c r="N31" s="144"/>
      <c r="O31" s="144"/>
      <c r="P31" s="144"/>
      <c r="Q31" s="144"/>
      <c r="R31" s="101"/>
      <c r="S31" s="101"/>
      <c r="T31" s="113">
        <f>T30/500</f>
        <v>27.659234420000004</v>
      </c>
      <c r="U31" s="113"/>
      <c r="V31" s="114">
        <f>V30/1000</f>
        <v>27.361578710000007</v>
      </c>
      <c r="W31" s="7"/>
      <c r="X31" s="7"/>
      <c r="Y31" s="15"/>
    </row>
    <row r="32" spans="1:25" ht="16.5" thickTop="1">
      <c r="A32" s="1"/>
      <c r="D32" s="10"/>
      <c r="E32" s="9"/>
      <c r="N32" s="134" t="s">
        <v>189</v>
      </c>
      <c r="O32" s="135"/>
      <c r="P32" s="135"/>
      <c r="Q32" s="108"/>
      <c r="R32" s="108">
        <f>5.45+4.23+1</f>
        <v>10.68</v>
      </c>
      <c r="S32" s="108"/>
      <c r="T32" s="108">
        <f>5.45+4.23+1</f>
        <v>10.68</v>
      </c>
      <c r="U32" s="108"/>
      <c r="V32" s="109"/>
      <c r="X32" s="15"/>
      <c r="Y32" s="15"/>
    </row>
    <row r="33" spans="1:25" ht="16.5" thickBot="1">
      <c r="A33" s="1"/>
      <c r="D33" s="9"/>
      <c r="N33" s="136" t="s">
        <v>190</v>
      </c>
      <c r="O33" s="137"/>
      <c r="P33" s="137"/>
      <c r="Q33" s="101"/>
      <c r="R33" s="102">
        <f>R32+R30</f>
        <v>38.957437999999996</v>
      </c>
      <c r="S33" s="101"/>
      <c r="T33" s="103">
        <f>T32+T30</f>
        <v>13840.297210000002</v>
      </c>
      <c r="U33" s="101"/>
      <c r="V33" s="104">
        <f>V30+T32</f>
        <v>27372.258710000006</v>
      </c>
      <c r="X33" s="15"/>
      <c r="Y33" s="15"/>
    </row>
    <row r="34" spans="1:25" ht="15.75" thickTop="1">
      <c r="A34" s="1"/>
      <c r="C34" s="10"/>
      <c r="D34" s="9"/>
      <c r="N34" s="99"/>
      <c r="X34" s="15"/>
      <c r="Y34" s="15"/>
    </row>
    <row r="35" spans="1:25">
      <c r="A35" s="1"/>
      <c r="X35" s="15"/>
      <c r="Y35" s="15"/>
    </row>
    <row r="36" spans="1:25">
      <c r="A36" s="1"/>
      <c r="X36" s="15"/>
      <c r="Y36" s="15"/>
    </row>
    <row r="37" spans="1:25">
      <c r="A37" s="1"/>
      <c r="X37" s="15"/>
      <c r="Y37" s="15"/>
    </row>
    <row r="38" spans="1:25">
      <c r="A38" s="1"/>
      <c r="X38" s="15"/>
      <c r="Y38" s="15"/>
    </row>
    <row r="39" spans="1:25" ht="15.75" customHeight="1">
      <c r="A39" s="1"/>
      <c r="X39" s="15"/>
      <c r="Y39" s="15"/>
    </row>
    <row r="40" spans="1:25">
      <c r="A40" s="1"/>
      <c r="X40" s="15"/>
      <c r="Y40" s="15"/>
    </row>
    <row r="41" spans="1:25">
      <c r="A41" s="1"/>
      <c r="X41" s="15"/>
      <c r="Y41" s="15"/>
    </row>
    <row r="42" spans="1:25">
      <c r="A42" s="1"/>
      <c r="X42" s="15"/>
      <c r="Y42" s="15"/>
    </row>
    <row r="43" spans="1:25">
      <c r="A43" s="1"/>
      <c r="X43" s="15"/>
      <c r="Y43" s="15"/>
    </row>
    <row r="44" spans="1:25">
      <c r="A44" s="1"/>
      <c r="X44" s="15"/>
      <c r="Y44" s="15"/>
    </row>
    <row r="45" spans="1:25">
      <c r="H45" s="11"/>
      <c r="W45" s="14"/>
    </row>
    <row r="46" spans="1:25">
      <c r="H46" s="11"/>
      <c r="W46" s="14"/>
    </row>
  </sheetData>
  <mergeCells count="11">
    <mergeCell ref="N32:P32"/>
    <mergeCell ref="N33:P33"/>
    <mergeCell ref="A1:X1"/>
    <mergeCell ref="M30:Q30"/>
    <mergeCell ref="M31:Q31"/>
    <mergeCell ref="B3:B7"/>
    <mergeCell ref="B9:B10"/>
    <mergeCell ref="B11:B17"/>
    <mergeCell ref="B19:B22"/>
    <mergeCell ref="B23:B24"/>
    <mergeCell ref="B25:B29"/>
  </mergeCells>
  <phoneticPr fontId="19" type="noConversion"/>
  <conditionalFormatting sqref="W24">
    <cfRule type="dataBar" priority="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{A7177EAA-5F93-4441-AADE-07DBCA551305}</x14:id>
        </ext>
      </extLst>
    </cfRule>
  </conditionalFormatting>
  <conditionalFormatting sqref="M2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8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{8AE3E078-20BF-4FAB-B4D9-9A19E57EB3A1}</x14:id>
        </ext>
      </extLst>
    </cfRule>
  </conditionalFormatting>
  <conditionalFormatting sqref="M2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9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{73C16A20-6CA5-41F8-8719-298C2C627FBF}</x14:id>
        </ext>
      </extLst>
    </cfRule>
  </conditionalFormatting>
  <conditionalFormatting sqref="M3:M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{73D72061-44BE-43BF-B86A-016273A3FADD}</x14:id>
        </ext>
      </extLst>
    </cfRule>
  </conditionalFormatting>
  <conditionalFormatting sqref="P9:P10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{431ABF7B-01D1-4562-B5F9-4F47436B3001}</x14:id>
        </ext>
      </extLst>
    </cfRule>
  </conditionalFormatting>
  <conditionalFormatting sqref="M17:O27 M8:M14 N3:O29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O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8:O29 M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1:V31">
    <cfRule type="dataBar" priority="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{A8943134-F8F0-4DF3-A9A0-86442E65814B}</x14:id>
        </ext>
      </extLst>
    </cfRule>
  </conditionalFormatting>
  <conditionalFormatting sqref="T3:T27 V3:V27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{70CE0387-EDB2-443C-842F-1D5EE6E70AF7}</x14:id>
        </ext>
      </extLst>
    </cfRule>
  </conditionalFormatting>
  <hyperlinks>
    <hyperlink ref="P3" r:id="rId1"/>
    <hyperlink ref="P4" r:id="rId2"/>
    <hyperlink ref="P5" r:id="rId3"/>
    <hyperlink ref="P8" r:id="rId4"/>
    <hyperlink ref="P9" r:id="rId5"/>
    <hyperlink ref="P10" r:id="rId6"/>
    <hyperlink ref="P11" r:id="rId7"/>
    <hyperlink ref="P13" r:id="rId8"/>
    <hyperlink ref="P12" r:id="rId9"/>
    <hyperlink ref="P14" r:id="rId10"/>
    <hyperlink ref="P17" r:id="rId11"/>
    <hyperlink ref="P18" r:id="rId12"/>
    <hyperlink ref="P6" r:id="rId13"/>
    <hyperlink ref="P7" r:id="rId14"/>
    <hyperlink ref="P21" r:id="rId15"/>
    <hyperlink ref="P25" r:id="rId16"/>
    <hyperlink ref="P22" r:id="rId17"/>
    <hyperlink ref="P15" r:id="rId18"/>
    <hyperlink ref="P16" r:id="rId19"/>
    <hyperlink ref="P27" r:id="rId20"/>
    <hyperlink ref="P23" r:id="rId21"/>
    <hyperlink ref="P26" r:id="rId22"/>
    <hyperlink ref="P20" r:id="rId23"/>
  </hyperlinks>
  <pageMargins left="0.75" right="0.75" top="1" bottom="1" header="0.5" footer="0.5"/>
  <pageSetup orientation="portrait" r:id="rId2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177EAA-5F93-4441-AADE-07DBCA55130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W24</xm:sqref>
        </x14:conditionalFormatting>
        <x14:conditionalFormatting xmlns:xm="http://schemas.microsoft.com/office/excel/2006/main">
          <x14:cfRule type="dataBar" id="{8AE3E078-20BF-4FAB-B4D9-9A19E57EB3A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W28</xm:sqref>
        </x14:conditionalFormatting>
        <x14:conditionalFormatting xmlns:xm="http://schemas.microsoft.com/office/excel/2006/main">
          <x14:cfRule type="dataBar" id="{73C16A20-6CA5-41F8-8719-298C2C627FB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W29</xm:sqref>
        </x14:conditionalFormatting>
        <x14:conditionalFormatting xmlns:xm="http://schemas.microsoft.com/office/excel/2006/main">
          <x14:cfRule type="dataBar" id="{73D72061-44BE-43BF-B86A-016273A3FA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P3:P5</xm:sqref>
        </x14:conditionalFormatting>
        <x14:conditionalFormatting xmlns:xm="http://schemas.microsoft.com/office/excel/2006/main">
          <x14:cfRule type="dataBar" id="{431ABF7B-01D1-4562-B5F9-4F47436B30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P9:P10</xm:sqref>
        </x14:conditionalFormatting>
        <x14:conditionalFormatting xmlns:xm="http://schemas.microsoft.com/office/excel/2006/main">
          <x14:cfRule type="dataBar" id="{A8943134-F8F0-4DF3-A9A0-86442E65814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T31:V31</xm:sqref>
        </x14:conditionalFormatting>
        <x14:conditionalFormatting xmlns:xm="http://schemas.microsoft.com/office/excel/2006/main">
          <x14:cfRule type="dataBar" id="{70CE0387-EDB2-443C-842F-1D5EE6E70A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T3:T27 V3:V27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Windows User</cp:lastModifiedBy>
  <dcterms:created xsi:type="dcterms:W3CDTF">2021-10-16T12:34:00Z</dcterms:created>
  <dcterms:modified xsi:type="dcterms:W3CDTF">2021-12-08T10:09:43Z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6B883EB8517F45A9B5A947128B6C1862</vt:lpwstr>
  </property>
  <property fmtid="{D5CDD505-2E9C-101B-9397-08002B2CF9AE}" pid="3" name="KSOProductBuildVer">
    <vt:lpwstr>1033-11.2.0.10323</vt:lpwstr>
  </property>
</Properties>
</file>