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ChrisitanRaun-AnnanasMotor\Deliverables\Control_Board\BOM\"/>
    </mc:Choice>
  </mc:AlternateContent>
  <bookViews>
    <workbookView xWindow="-105" yWindow="-105" windowWidth="23250" windowHeight="1401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25" i="1" l="1"/>
  <c r="M26" i="1" l="1"/>
  <c r="R30" i="1" l="1"/>
  <c r="R31" i="1" s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7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7" i="1"/>
  <c r="P30" i="1" s="1"/>
  <c r="P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7" i="1"/>
  <c r="M28" i="1"/>
  <c r="M29" i="1"/>
  <c r="M3" i="1"/>
</calcChain>
</file>

<file path=xl/sharedStrings.xml><?xml version="1.0" encoding="utf-8"?>
<sst xmlns="http://schemas.openxmlformats.org/spreadsheetml/2006/main" count="285" uniqueCount="186">
  <si>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</si>
  <si>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</si>
  <si>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</si>
  <si>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</si>
  <si>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</si>
  <si>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</si>
  <si>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</si>
  <si>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</si>
  <si>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</si>
  <si>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</si>
  <si>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</si>
  <si>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</si>
  <si>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Link</t>
  </si>
  <si>
    <t>Unit Cost(1)</t>
  </si>
  <si>
    <t>MOQ Total</t>
  </si>
  <si>
    <t>Remarks</t>
  </si>
  <si>
    <t>Quotation of orignal parts from Chinese supplier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</si>
  <si>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</si>
  <si>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</si>
  <si>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</si>
  <si>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</si>
  <si>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</si>
  <si>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</si>
  <si>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</si>
  <si>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</si>
  <si>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</si>
  <si>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</si>
  <si>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</si>
  <si>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</si>
  <si>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</si>
  <si>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</si>
  <si>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</si>
  <si>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</si>
  <si>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</si>
  <si>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</si>
  <si>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</si>
  <si>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</si>
  <si>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</si>
  <si>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</si>
  <si>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</si>
  <si>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</si>
  <si>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</si>
  <si>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</si>
  <si>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</si>
  <si>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</si>
  <si>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</si>
  <si>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</si>
  <si>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</si>
  <si>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</si>
  <si>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</si>
  <si>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</si>
  <si>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</si>
  <si>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</si>
  <si>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</si>
  <si>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</si>
  <si>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LED2,LED3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</si>
  <si>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</si>
  <si>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</si>
  <si>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</si>
  <si>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</si>
  <si>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</si>
  <si>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</si>
  <si>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</si>
  <si>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</si>
  <si>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</si>
  <si>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</si>
  <si>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</si>
  <si>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</si>
  <si>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</si>
  <si>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</si>
  <si>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</si>
  <si>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</si>
  <si>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</si>
  <si>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</si>
  <si>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</si>
  <si>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</si>
  <si>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R23, R41, R42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</si>
  <si>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</si>
  <si>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</si>
  <si>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</si>
  <si>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</si>
  <si>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</si>
  <si>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</si>
  <si>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</si>
  <si>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</si>
  <si>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</si>
  <si>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</si>
  <si>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</si>
  <si>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</si>
  <si>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</si>
  <si>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</si>
  <si>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</si>
  <si>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R40,R17</t>
  </si>
  <si>
    <t>RC0603FR-071KL</t>
  </si>
  <si>
    <t>C22548</t>
  </si>
  <si>
    <t>1K</t>
  </si>
  <si>
    <t>RES SMD 100 OHM 1% 1/10W 0603</t>
  </si>
  <si>
    <t>R18, R19</t>
  </si>
  <si>
    <t>RC0603FR-07100RL</t>
  </si>
  <si>
    <t>C105588</t>
  </si>
  <si>
    <t>100R</t>
  </si>
  <si>
    <t>RES SMD 470 OHM 1% 1/10W 0603</t>
  </si>
  <si>
    <t>R20</t>
  </si>
  <si>
    <t>RC0603FR-07470RL</t>
  </si>
  <si>
    <t>C114669</t>
  </si>
  <si>
    <t>470R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</si>
  <si>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</si>
  <si>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</si>
  <si>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</si>
  <si>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</si>
  <si>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</si>
  <si>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</si>
  <si>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</si>
  <si>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</si>
  <si>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</si>
  <si>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</si>
  <si>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</si>
  <si>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</si>
  <si>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Ics</t>
  </si>
  <si>
    <t>IC ETHERCAT SLAVE CONTROLLER</t>
  </si>
  <si>
    <t>U1</t>
  </si>
  <si>
    <t>LAN9255/ZMX019</t>
  </si>
  <si>
    <t>IC EEPROM 256KBIT I2C 1MHZ 8SOIC</t>
  </si>
  <si>
    <t>U2</t>
  </si>
  <si>
    <t>8-SOIC</t>
  </si>
  <si>
    <t>CAT24C256WI-GT3</t>
  </si>
  <si>
    <t>onsemi</t>
  </si>
  <si>
    <t>C79987</t>
  </si>
  <si>
    <t>MAGNETIC ANGLE SENSOR</t>
  </si>
  <si>
    <t>U4</t>
  </si>
  <si>
    <t>TLE5012BE5000FUMA1</t>
  </si>
  <si>
    <t xml:space="preserve">Infineon </t>
  </si>
  <si>
    <t>IC TRNSLTR BIDIRECTIONAL US8</t>
  </si>
  <si>
    <t>U3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</si>
  <si>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</si>
  <si>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</si>
  <si>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</si>
  <si>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</si>
  <si>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</si>
  <si>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</si>
  <si>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</si>
  <si>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</si>
  <si>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</si>
  <si>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</si>
  <si>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</si>
  <si>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Custom supplier</t>
  </si>
  <si>
    <t>Connector</t>
  </si>
  <si>
    <t>HDR1X5 SMD</t>
  </si>
  <si>
    <t>PH254P1x12SMRA-100</t>
  </si>
  <si>
    <t>RTLECS</t>
  </si>
  <si>
    <t>Aliexpress</t>
  </si>
  <si>
    <t>J3</t>
  </si>
  <si>
    <t>Solder Bridge ON</t>
  </si>
  <si>
    <t>SB1, SB4, SB5, SB6, SB7</t>
  </si>
  <si>
    <t>Solder Bridge</t>
  </si>
  <si>
    <t>DO NOT Mount</t>
  </si>
  <si>
    <t>Test Point ON</t>
  </si>
  <si>
    <t>P1,P5,P6</t>
  </si>
  <si>
    <t>TEST POINT</t>
  </si>
  <si>
    <t xml:space="preserve">Total Component Cost </t>
  </si>
  <si>
    <t>Single Board Cost</t>
  </si>
  <si>
    <t>Awaiting Custom Supplier Quotation</t>
  </si>
  <si>
    <t>Quantity 5</t>
  </si>
  <si>
    <t>C2, C4, C6, C7, C8, C9, C10, C11, C12, C13, C14, C15, C16, C20, C21, C22, C23, C24, C25, C30, C31, C34, C35, C41</t>
  </si>
  <si>
    <t>Total Cost(1)</t>
  </si>
  <si>
    <t>Unit Cost(5)</t>
  </si>
  <si>
    <t>MOQ=10</t>
  </si>
  <si>
    <t>-----------</t>
  </si>
  <si>
    <t>--------</t>
  </si>
  <si>
    <t>----</t>
  </si>
  <si>
    <t>-------</t>
  </si>
  <si>
    <t>Bill of Material (BOM) for Controller Board</t>
  </si>
  <si>
    <t xml:space="preserve">128-TQFP (14x14)
</t>
  </si>
  <si>
    <t xml:space="preserve">Microchip </t>
  </si>
  <si>
    <t>----------</t>
  </si>
  <si>
    <t>5 POS 2.54mm Pin Header Male single row Right Angle SMD</t>
  </si>
  <si>
    <t>6 POS 2.54mm Pin Header Male single row Right Angle SMD</t>
  </si>
  <si>
    <t>J1</t>
  </si>
  <si>
    <t>HDR1X6 SMD</t>
  </si>
  <si>
    <t>J2</t>
  </si>
  <si>
    <t>PH254P1x12SMRA-100_1</t>
  </si>
  <si>
    <t>Aker Technology</t>
  </si>
  <si>
    <t xml:space="preserve">Ye part Same ha or Quantity b Zayada ha is lye merge kr dia ha isko  </t>
  </si>
  <si>
    <t xml:space="preserve">CONN HEADER SMD 26POS 2.54MM
</t>
  </si>
  <si>
    <t xml:space="preserve">95278-101A26LF
</t>
  </si>
  <si>
    <t xml:space="preserve">Amphenol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</si>
</sst>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000"/>
    <numFmt numFmtId="166" formatCode="&quot;$&quot;#,##0.00"/>
    <numFmt numFmtId="167" formatCode="_-[$$-409]* #,##0.00_ ;_-[$$-409]* \-#,##0.00\ ;_-[$$-409]* &quot;-&quot;??_ ;_-@_ "/>
  </numFmts>
  <fonts count="19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b/>
      <sz val="10"/>
      <color rgb="FFFF0000"/>
      <name val="Calibri"/>
      <family val="2"/>
    </font>
    <font>
      <sz val="10"/>
      <color rgb="FF333333"/>
      <name val="Calibri"/>
      <family val="2"/>
    </font>
    <font>
      <b/>
      <strike/>
      <sz val="10"/>
      <color rgb="FFFF0000"/>
      <name val="Calibri"/>
      <family val="2"/>
    </font>
    <font>
      <u/>
      <sz val="10"/>
      <color rgb="FF0000FF"/>
      <name val="Calibri"/>
      <family val="2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7" fillId="5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/>
    </xf>
    <xf numFmtId="0" fontId="1" fillId="3" borderId="16" xfId="0" applyFont="1" applyFill="1" applyBorder="1" applyAlignment="1">
      <alignment horizontal="center" vertical="center"/>
    </xf>
    <xf numFmtId="164" fontId="1" fillId="3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/>
    <xf numFmtId="166" fontId="4" fillId="0" borderId="17" xfId="0" applyNumberFormat="1" applyFont="1" applyFill="1" applyBorder="1" applyAlignment="1">
      <alignment horizontal="center" vertical="center"/>
    </xf>
    <xf numFmtId="166" fontId="4" fillId="0" borderId="18" xfId="0" applyNumberFormat="1" applyFont="1" applyFill="1" applyBorder="1" applyAlignment="1">
      <alignment horizontal="center" vertical="center"/>
    </xf>
    <xf numFmtId="0" fontId="0" fillId="0" borderId="0" xfId="0" applyFont="1" applyFill="1" applyAlignment="1"/>
    <xf numFmtId="0" fontId="9" fillId="0" borderId="11" xfId="0" quotePrefix="1" applyFont="1" applyFill="1" applyBorder="1" applyAlignment="1">
      <alignment horizontal="center" vertical="center"/>
    </xf>
    <xf numFmtId="0" fontId="9" fillId="0" borderId="14" xfId="0" quotePrefix="1" applyFont="1" applyFill="1" applyBorder="1" applyAlignment="1">
      <alignment horizontal="center" vertical="center"/>
    </xf>
    <xf numFmtId="164" fontId="11" fillId="3" borderId="5" xfId="0" applyNumberFormat="1" applyFont="1" applyFill="1" applyBorder="1" applyAlignment="1">
      <alignment horizontal="center" vertical="center"/>
    </xf>
    <xf numFmtId="0" fontId="13" fillId="0" borderId="11" xfId="1" quotePrefix="1" applyFont="1" applyBorder="1" applyAlignment="1">
      <alignment horizontal="center" vertical="center"/>
    </xf>
    <xf numFmtId="0" fontId="14" fillId="4" borderId="11" xfId="0" applyFont="1" applyFill="1" applyBorder="1" applyAlignment="1">
      <alignment horizontal="center" vertical="center"/>
    </xf>
    <xf numFmtId="0" fontId="9" fillId="7" borderId="11" xfId="0" quotePrefix="1" applyFont="1" applyFill="1" applyBorder="1" applyAlignment="1">
      <alignment horizontal="center" vertical="center"/>
    </xf>
    <xf numFmtId="0" fontId="10" fillId="0" borderId="8" xfId="0" quotePrefix="1" applyFont="1" applyFill="1" applyBorder="1" applyAlignment="1">
      <alignment horizontal="center" vertical="center"/>
    </xf>
    <xf numFmtId="0" fontId="10" fillId="0" borderId="11" xfId="0" quotePrefix="1" applyFont="1" applyFill="1" applyBorder="1" applyAlignment="1">
      <alignment horizontal="center" vertical="center"/>
    </xf>
    <xf numFmtId="0" fontId="12" fillId="4" borderId="11" xfId="0" quotePrefix="1" applyFont="1" applyFill="1" applyBorder="1" applyAlignment="1">
      <alignment horizontal="center" vertical="center"/>
    </xf>
    <xf numFmtId="0" fontId="3" fillId="0" borderId="25" xfId="0" applyFont="1" applyFill="1" applyBorder="1" applyAlignment="1">
      <alignment horizontal="center" vertical="center"/>
    </xf>
    <xf numFmtId="0" fontId="12" fillId="4" borderId="23" xfId="0" quotePrefix="1" applyFont="1" applyFill="1" applyBorder="1" applyAlignment="1">
      <alignment horizontal="center" vertical="center"/>
    </xf>
    <xf numFmtId="0" fontId="13" fillId="0" borderId="8" xfId="1" quotePrefix="1" applyFont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9" fillId="7" borderId="14" xfId="0" quotePrefix="1" applyFont="1" applyFill="1" applyBorder="1" applyAlignment="1">
      <alignment horizontal="center" vertical="center"/>
    </xf>
    <xf numFmtId="0" fontId="10" fillId="0" borderId="7" xfId="0" quotePrefix="1" applyFont="1" applyFill="1" applyBorder="1" applyAlignment="1">
      <alignment horizontal="left" vertical="center"/>
    </xf>
    <xf numFmtId="0" fontId="12" fillId="0" borderId="8" xfId="0" quotePrefix="1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8" xfId="0" quotePrefix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64" fontId="13" fillId="0" borderId="8" xfId="1" applyNumberFormat="1" applyFont="1" applyBorder="1" applyAlignment="1">
      <alignment horizontal="center" vertical="center"/>
    </xf>
    <xf numFmtId="164" fontId="12" fillId="0" borderId="8" xfId="0" applyNumberFormat="1" applyFont="1" applyFill="1" applyBorder="1" applyAlignment="1">
      <alignment horizontal="center" vertical="center"/>
    </xf>
    <xf numFmtId="164" fontId="10" fillId="0" borderId="8" xfId="0" applyNumberFormat="1" applyFont="1" applyFill="1" applyBorder="1" applyAlignment="1">
      <alignment horizontal="center" vertical="center"/>
    </xf>
    <xf numFmtId="166" fontId="10" fillId="0" borderId="19" xfId="0" applyNumberFormat="1" applyFont="1" applyFill="1" applyBorder="1" applyAlignment="1">
      <alignment horizontal="center" vertical="center"/>
    </xf>
    <xf numFmtId="0" fontId="10" fillId="0" borderId="10" xfId="0" quotePrefix="1" applyFont="1" applyFill="1" applyBorder="1" applyAlignment="1">
      <alignment horizontal="left" vertical="center"/>
    </xf>
    <xf numFmtId="0" fontId="12" fillId="0" borderId="11" xfId="0" quotePrefix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164" fontId="13" fillId="0" borderId="11" xfId="1" applyNumberFormat="1" applyFont="1" applyBorder="1" applyAlignment="1">
      <alignment horizontal="center" vertical="center"/>
    </xf>
    <xf numFmtId="164" fontId="12" fillId="0" borderId="11" xfId="0" applyNumberFormat="1" applyFont="1" applyFill="1" applyBorder="1" applyAlignment="1">
      <alignment horizontal="center" vertical="center"/>
    </xf>
    <xf numFmtId="164" fontId="10" fillId="0" borderId="11" xfId="0" applyNumberFormat="1" applyFont="1" applyFill="1" applyBorder="1" applyAlignment="1">
      <alignment horizontal="center" vertical="center"/>
    </xf>
    <xf numFmtId="166" fontId="10" fillId="0" borderId="20" xfId="0" applyNumberFormat="1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165" fontId="12" fillId="0" borderId="11" xfId="0" applyNumberFormat="1" applyFont="1" applyFill="1" applyBorder="1" applyAlignment="1">
      <alignment horizontal="center" vertical="center"/>
    </xf>
    <xf numFmtId="0" fontId="10" fillId="0" borderId="13" xfId="0" quotePrefix="1" applyFont="1" applyFill="1" applyBorder="1" applyAlignment="1">
      <alignment horizontal="left" vertical="center"/>
    </xf>
    <xf numFmtId="0" fontId="10" fillId="0" borderId="14" xfId="0" quotePrefix="1" applyFont="1" applyFill="1" applyBorder="1" applyAlignment="1">
      <alignment horizontal="center" vertical="center"/>
    </xf>
    <xf numFmtId="0" fontId="12" fillId="0" borderId="14" xfId="0" quotePrefix="1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Fill="1" applyBorder="1" applyAlignment="1">
      <alignment horizontal="center" vertical="center"/>
    </xf>
    <xf numFmtId="0" fontId="13" fillId="0" borderId="14" xfId="1" quotePrefix="1" applyFont="1" applyBorder="1" applyAlignment="1">
      <alignment horizontal="center" vertical="center"/>
    </xf>
    <xf numFmtId="164" fontId="12" fillId="4" borderId="14" xfId="0" applyNumberFormat="1" applyFont="1" applyFill="1" applyBorder="1" applyAlignment="1">
      <alignment horizontal="center" vertical="center"/>
    </xf>
    <xf numFmtId="164" fontId="12" fillId="0" borderId="14" xfId="0" applyNumberFormat="1" applyFont="1" applyFill="1" applyBorder="1" applyAlignment="1">
      <alignment horizontal="center" vertical="center"/>
    </xf>
    <xf numFmtId="164" fontId="10" fillId="0" borderId="14" xfId="0" applyNumberFormat="1" applyFont="1" applyFill="1" applyBorder="1" applyAlignment="1">
      <alignment horizontal="center" vertical="center"/>
    </xf>
    <xf numFmtId="166" fontId="10" fillId="0" borderId="21" xfId="0" applyNumberFormat="1" applyFont="1" applyFill="1" applyBorder="1" applyAlignment="1">
      <alignment horizontal="center" vertical="center"/>
    </xf>
    <xf numFmtId="0" fontId="10" fillId="0" borderId="26" xfId="0" quotePrefix="1" applyFont="1" applyFill="1" applyBorder="1" applyAlignment="1">
      <alignment horizontal="left" vertical="center"/>
    </xf>
    <xf numFmtId="0" fontId="10" fillId="0" borderId="23" xfId="0" quotePrefix="1" applyFont="1" applyFill="1" applyBorder="1" applyAlignment="1">
      <alignment horizontal="center" vertical="center"/>
    </xf>
    <xf numFmtId="0" fontId="12" fillId="0" borderId="23" xfId="0" quotePrefix="1" applyFont="1" applyFill="1" applyBorder="1" applyAlignment="1">
      <alignment horizontal="center" vertical="center"/>
    </xf>
    <xf numFmtId="0" fontId="10" fillId="4" borderId="23" xfId="0" applyFont="1" applyFill="1" applyBorder="1" applyAlignment="1">
      <alignment horizontal="center" vertical="center"/>
    </xf>
    <xf numFmtId="0" fontId="10" fillId="4" borderId="23" xfId="0" quotePrefix="1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0" fillId="0" borderId="23" xfId="0" applyFont="1" applyFill="1" applyBorder="1" applyAlignment="1">
      <alignment horizontal="center" vertical="center"/>
    </xf>
    <xf numFmtId="0" fontId="13" fillId="0" borderId="23" xfId="1" quotePrefix="1" applyFont="1" applyBorder="1" applyAlignment="1">
      <alignment horizontal="center" vertical="center"/>
    </xf>
    <xf numFmtId="164" fontId="12" fillId="0" borderId="23" xfId="0" applyNumberFormat="1" applyFont="1" applyFill="1" applyBorder="1" applyAlignment="1">
      <alignment horizontal="center" vertical="center"/>
    </xf>
    <xf numFmtId="164" fontId="10" fillId="0" borderId="23" xfId="0" applyNumberFormat="1" applyFont="1" applyFill="1" applyBorder="1" applyAlignment="1">
      <alignment horizontal="center" vertical="center"/>
    </xf>
    <xf numFmtId="166" fontId="10" fillId="0" borderId="28" xfId="0" applyNumberFormat="1" applyFont="1" applyFill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164" fontId="13" fillId="0" borderId="14" xfId="1" applyNumberFormat="1" applyFont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3" fillId="4" borderId="11" xfId="1" quotePrefix="1" applyFont="1" applyFill="1" applyBorder="1" applyAlignment="1">
      <alignment horizontal="center" vertical="center"/>
    </xf>
    <xf numFmtId="164" fontId="12" fillId="4" borderId="11" xfId="0" applyNumberFormat="1" applyFont="1" applyFill="1" applyBorder="1" applyAlignment="1">
      <alignment horizontal="center" vertical="center"/>
    </xf>
    <xf numFmtId="0" fontId="10" fillId="4" borderId="26" xfId="0" quotePrefix="1" applyFont="1" applyFill="1" applyBorder="1" applyAlignment="1">
      <alignment horizontal="left" vertical="center"/>
    </xf>
    <xf numFmtId="0" fontId="12" fillId="4" borderId="23" xfId="0" applyFont="1" applyFill="1" applyBorder="1" applyAlignment="1">
      <alignment horizontal="center" vertical="center"/>
    </xf>
    <xf numFmtId="0" fontId="10" fillId="4" borderId="10" xfId="0" quotePrefix="1" applyFont="1" applyFill="1" applyBorder="1" applyAlignment="1">
      <alignment horizontal="left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167" fontId="16" fillId="7" borderId="11" xfId="0" applyNumberFormat="1" applyFont="1" applyFill="1" applyBorder="1" applyAlignment="1">
      <alignment horizontal="center" vertical="center"/>
    </xf>
    <xf numFmtId="166" fontId="10" fillId="7" borderId="20" xfId="0" applyNumberFormat="1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167" fontId="16" fillId="7" borderId="14" xfId="0" applyNumberFormat="1" applyFont="1" applyFill="1" applyBorder="1" applyAlignment="1">
      <alignment horizontal="center" vertical="center"/>
    </xf>
    <xf numFmtId="166" fontId="10" fillId="7" borderId="21" xfId="0" applyNumberFormat="1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7" fillId="0" borderId="11" xfId="1" applyFont="1" applyBorder="1" applyAlignment="1">
      <alignment horizontal="center" vertical="center"/>
    </xf>
    <xf numFmtId="164" fontId="0" fillId="0" borderId="0" xfId="0" applyNumberFormat="1" applyFill="1" applyAlignment="1"/>
    <xf numFmtId="166" fontId="10" fillId="0" borderId="29" xfId="0" applyNumberFormat="1" applyFont="1" applyFill="1" applyBorder="1" applyAlignment="1">
      <alignment horizontal="center" vertical="center"/>
    </xf>
    <xf numFmtId="0" fontId="10" fillId="6" borderId="7" xfId="0" quotePrefix="1" applyFont="1" applyFill="1" applyBorder="1" applyAlignment="1">
      <alignment horizontal="left" vertical="center"/>
    </xf>
    <xf numFmtId="0" fontId="10" fillId="6" borderId="8" xfId="0" quotePrefix="1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vertical="center"/>
    </xf>
    <xf numFmtId="0" fontId="12" fillId="6" borderId="8" xfId="0" applyFont="1" applyFill="1" applyBorder="1" applyAlignment="1">
      <alignment horizontal="center" vertical="center"/>
    </xf>
    <xf numFmtId="164" fontId="12" fillId="6" borderId="8" xfId="0" applyNumberFormat="1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166" fontId="10" fillId="6" borderId="19" xfId="0" applyNumberFormat="1" applyFont="1" applyFill="1" applyBorder="1" applyAlignment="1">
      <alignment horizontal="center" vertical="center"/>
    </xf>
    <xf numFmtId="167" fontId="16" fillId="4" borderId="14" xfId="0" applyNumberFormat="1" applyFont="1" applyFill="1" applyBorder="1" applyAlignment="1">
      <alignment horizontal="center" vertical="center"/>
    </xf>
    <xf numFmtId="0" fontId="12" fillId="6" borderId="8" xfId="0" quotePrefix="1" applyFont="1" applyFill="1" applyBorder="1" applyAlignment="1">
      <alignment horizontal="center" vertical="center"/>
    </xf>
    <xf numFmtId="0" fontId="13" fillId="6" borderId="8" xfId="1" quotePrefix="1" applyFont="1" applyFill="1" applyBorder="1" applyAlignment="1">
      <alignment horizontal="center" vertical="center"/>
    </xf>
    <xf numFmtId="166" fontId="10" fillId="6" borderId="8" xfId="0" applyNumberFormat="1" applyFont="1" applyFill="1" applyBorder="1" applyAlignment="1">
      <alignment horizontal="center" vertical="center"/>
    </xf>
    <xf numFmtId="164" fontId="10" fillId="6" borderId="8" xfId="0" applyNumberFormat="1" applyFont="1" applyFill="1" applyBorder="1" applyAlignment="1">
      <alignment horizontal="center" vertical="center"/>
    </xf>
    <xf numFmtId="0" fontId="10" fillId="6" borderId="11" xfId="0" quotePrefix="1" applyFont="1" applyFill="1" applyBorder="1" applyAlignment="1">
      <alignment horizontal="center" vertical="center"/>
    </xf>
    <xf numFmtId="0" fontId="12" fillId="6" borderId="11" xfId="0" quotePrefix="1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3" fillId="6" borderId="11" xfId="1" quotePrefix="1" applyFont="1" applyFill="1" applyBorder="1" applyAlignment="1">
      <alignment horizontal="center" vertical="center"/>
    </xf>
    <xf numFmtId="166" fontId="15" fillId="6" borderId="11" xfId="0" applyNumberFormat="1" applyFont="1" applyFill="1" applyBorder="1" applyAlignment="1">
      <alignment horizontal="center" vertical="center"/>
    </xf>
    <xf numFmtId="164" fontId="12" fillId="6" borderId="11" xfId="0" applyNumberFormat="1" applyFont="1" applyFill="1" applyBorder="1" applyAlignment="1">
      <alignment horizontal="center" vertical="center"/>
    </xf>
    <xf numFmtId="164" fontId="10" fillId="6" borderId="11" xfId="0" applyNumberFormat="1" applyFont="1" applyFill="1" applyBorder="1" applyAlignment="1">
      <alignment horizontal="center" vertical="center"/>
    </xf>
    <xf numFmtId="0" fontId="10" fillId="6" borderId="14" xfId="0" quotePrefix="1" applyFont="1" applyFill="1" applyBorder="1" applyAlignment="1">
      <alignment horizontal="center" vertical="center"/>
    </xf>
    <xf numFmtId="0" fontId="12" fillId="6" borderId="14" xfId="0" quotePrefix="1" applyFont="1" applyFill="1" applyBorder="1" applyAlignment="1">
      <alignment horizontal="center" vertical="center"/>
    </xf>
    <xf numFmtId="0" fontId="12" fillId="6" borderId="14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13" fillId="6" borderId="14" xfId="1" quotePrefix="1" applyFont="1" applyFill="1" applyBorder="1" applyAlignment="1">
      <alignment horizontal="center" vertical="center"/>
    </xf>
    <xf numFmtId="164" fontId="12" fillId="6" borderId="14" xfId="0" applyNumberFormat="1" applyFont="1" applyFill="1" applyBorder="1" applyAlignment="1">
      <alignment horizontal="center" vertical="center"/>
    </xf>
    <xf numFmtId="164" fontId="10" fillId="6" borderId="14" xfId="0" applyNumberFormat="1" applyFont="1" applyFill="1" applyBorder="1" applyAlignment="1">
      <alignment horizontal="center" vertical="center"/>
    </xf>
    <xf numFmtId="166" fontId="10" fillId="6" borderId="14" xfId="0" applyNumberFormat="1" applyFont="1" applyFill="1" applyBorder="1" applyAlignment="1">
      <alignment horizontal="center" vertical="center"/>
    </xf>
    <xf numFmtId="0" fontId="10" fillId="6" borderId="17" xfId="0" quotePrefix="1" applyFont="1" applyFill="1" applyBorder="1" applyAlignment="1">
      <alignment horizontal="center" vertical="center"/>
    </xf>
    <xf numFmtId="0" fontId="10" fillId="6" borderId="10" xfId="0" quotePrefix="1" applyFont="1" applyFill="1" applyBorder="1" applyAlignment="1">
      <alignment horizontal="left" vertical="center"/>
    </xf>
    <xf numFmtId="0" fontId="10" fillId="6" borderId="13" xfId="0" quotePrefix="1" applyFont="1" applyFill="1" applyBorder="1" applyAlignment="1">
      <alignment horizontal="left" vertical="center"/>
    </xf>
    <xf numFmtId="0" fontId="10" fillId="6" borderId="17" xfId="0" applyFont="1" applyFill="1" applyBorder="1" applyAlignment="1">
      <alignment horizontal="center" vertical="center"/>
    </xf>
    <xf numFmtId="0" fontId="10" fillId="6" borderId="24" xfId="0" quotePrefix="1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10" fillId="4" borderId="30" xfId="0" applyFont="1" applyFill="1" applyBorder="1" applyAlignment="1">
      <alignment horizontal="center" vertical="center" wrapText="1"/>
    </xf>
    <xf numFmtId="0" fontId="10" fillId="4" borderId="17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8" fillId="0" borderId="31" xfId="0" applyFont="1" applyFill="1" applyBorder="1" applyAlignment="1">
      <alignment horizontal="center"/>
    </xf>
    <xf numFmtId="0" fontId="18" fillId="0" borderId="0" xfId="0" applyFont="1" applyFill="1" applyAlignment="1">
      <alignment horizontal="center"/>
    </xf>
    <xf numFmtId="0" fontId="3" fillId="0" borderId="6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27" xfId="0" applyFont="1" applyFill="1" applyBorder="1" applyAlignment="1">
      <alignment horizontal="center" vertical="center"/>
    </xf>
    <xf numFmtId="0" fontId="13" fillId="6" borderId="30" xfId="1" quotePrefix="1" applyFont="1" applyFill="1" applyBorder="1" applyAlignment="1">
      <alignment horizontal="center" vertical="center"/>
    </xf>
    <xf numFmtId="0" fontId="13" fillId="6" borderId="17" xfId="1" quotePrefix="1" applyFont="1" applyFill="1" applyBorder="1" applyAlignment="1">
      <alignment horizontal="center" vertical="center"/>
    </xf>
    <xf numFmtId="164" fontId="12" fillId="6" borderId="30" xfId="0" applyNumberFormat="1" applyFont="1" applyFill="1" applyBorder="1" applyAlignment="1">
      <alignment horizontal="center" vertical="center"/>
    </xf>
    <xf numFmtId="164" fontId="12" fillId="6" borderId="17" xfId="0" applyNumberFormat="1" applyFont="1" applyFill="1" applyBorder="1" applyAlignment="1">
      <alignment horizontal="center" vertical="center"/>
    </xf>
    <xf numFmtId="164" fontId="10" fillId="6" borderId="30" xfId="0" applyNumberFormat="1" applyFont="1" applyFill="1" applyBorder="1" applyAlignment="1">
      <alignment horizontal="center" vertical="center"/>
    </xf>
    <xf numFmtId="164" fontId="10" fillId="6" borderId="17" xfId="0" applyNumberFormat="1" applyFont="1" applyFill="1" applyBorder="1" applyAlignment="1">
      <alignment horizontal="center" vertical="center"/>
    </xf>
    <xf numFmtId="0" fontId="10" fillId="6" borderId="30" xfId="0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JR-07330RL_C105879.html" TargetMode="External"/><Relationship Id="rId13" Type="http://schemas.openxmlformats.org/officeDocument/2006/relationships/hyperlink" Target="https://www.lcsc.com/product-detail/EEPROM_onsemi-CAT24C256WI-GT3_C79987.html" TargetMode="External"/><Relationship Id="rId18" Type="http://schemas.openxmlformats.org/officeDocument/2006/relationships/hyperlink" Target="https://www.aliexpress.com/item/4000809540773.html?spm=a2g0o.productlist.0.0.6de246c1bZT6MX&amp;algo_pvid=8f5ac8e0-d326-4065-a967-4d43ba16ccd8&amp;algo_exp_id=8f5ac8e0-d326-4065-a967-4d43ba16ccd8-5&amp;pdp_ext_f=%7B%22sku_id%22%3A%2210000008107183129%22%7D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hyperlink" Target="https://www.aliexpress.com/item/32724713249.html" TargetMode="External"/><Relationship Id="rId7" Type="http://schemas.openxmlformats.org/officeDocument/2006/relationships/hyperlink" Target="https://www.lcsc.com/product-detail/Chip-Resistor-Surface-Mount_YAGEO-AC0603JR-0710KL_C140867.html" TargetMode="External"/><Relationship Id="rId1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7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aliexpress.com/item/33051187576.html?spm=a2g0o.productlist.0.0.4f684477Oj2GOj&amp;algo_pvid=5b48aa7c-c07c-4917-9349-3704e8d05a03&amp;algo_exp_id=5b48aa7c-c07c-4917-9349-3704e8d05a03-5&amp;pdp_ext_f=%7B%22sku_id%22%3A%2267477268699%22%7D" TargetMode="External"/><Relationship Id="rId20" Type="http://schemas.openxmlformats.org/officeDocument/2006/relationships/hyperlink" Target="https://lcsc.com/product-detail/Chip-Resistor-Surface-Mount_YAGEO-RC0603FR-07470RL_C114669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5" Type="http://schemas.openxmlformats.org/officeDocument/2006/relationships/hyperlink" Target="https://www.lcsc.com/product-detail/Ferrite-Beads_Meled-MLB1608-201P1A-f_C45316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lcsc.com/product-detail/Chip-Resistor-Surface-Mount_YAGEO-RC0603FR-07100RL_C105588.html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9" Type="http://schemas.openxmlformats.org/officeDocument/2006/relationships/hyperlink" Target="https://www.lcsc.com/product-detail/Chip-Resistor-Surface-Mount_YAGEO-RC0603FR-0733RL_C108661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tabSelected="1" topLeftCell="O1" workbookViewId="0">
      <selection activeCell="T26" sqref="T26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" customWidth="1"/>
    <col min="4" max="4" width="33.140625" style="1" customWidth="1"/>
    <col min="5" max="5" width="21" style="1" customWidth="1"/>
    <col min="6" max="6" width="33.5703125" style="1" bestFit="1" customWidth="1"/>
    <col min="7" max="7" width="14.7109375" style="1" bestFit="1" customWidth="1"/>
    <col min="8" max="8" width="14.42578125" style="2" customWidth="1"/>
    <col min="9" max="9" width="19.85546875" style="1" bestFit="1" customWidth="1"/>
    <col min="10" max="10" width="6.42578125" style="1" bestFit="1" customWidth="1"/>
    <col min="11" max="11" width="11.5703125" style="1" customWidth="1"/>
    <col min="12" max="12" width="21.85546875" style="1" customWidth="1"/>
    <col min="13" max="13" width="14.140625" style="1" customWidth="1"/>
    <col min="14" max="14" width="13.7109375" style="1" bestFit="1" customWidth="1"/>
    <col min="15" max="15" width="12.7109375" style="1" customWidth="1"/>
    <col min="16" max="16" width="13.42578125" style="1" bestFit="1" customWidth="1"/>
    <col min="17" max="18" width="13.42578125" style="1" customWidth="1"/>
    <col min="19" max="19" width="23.7109375" style="1" bestFit="1" customWidth="1"/>
    <col min="20" max="20" width="49.7109375" style="1" bestFit="1" customWidth="1"/>
    <col min="21" max="16384" width="9" style="1"/>
  </cols>
  <sheetData>
    <row r="1" spans="1:21" ht="16.5" thickBot="1">
      <c r="A1" s="138" t="s">
        <v>171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40"/>
    </row>
    <row r="2" spans="1:21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162</v>
      </c>
      <c r="N2" s="12" t="s">
        <v>12</v>
      </c>
      <c r="O2" s="13" t="s">
        <v>13</v>
      </c>
      <c r="P2" s="20" t="s">
        <v>164</v>
      </c>
      <c r="Q2" s="20" t="s">
        <v>165</v>
      </c>
      <c r="R2" s="5" t="s">
        <v>14</v>
      </c>
      <c r="S2" s="5" t="s">
        <v>15</v>
      </c>
      <c r="T2" s="5" t="s">
        <v>16</v>
      </c>
    </row>
    <row r="3" spans="1:21" ht="15.75" thickBot="1">
      <c r="A3" s="6">
        <v>1</v>
      </c>
      <c r="B3" s="143" t="s">
        <v>17</v>
      </c>
      <c r="C3" s="32" t="s">
        <v>18</v>
      </c>
      <c r="D3" s="73" t="s">
        <v>19</v>
      </c>
      <c r="E3" s="24" t="s">
        <v>20</v>
      </c>
      <c r="F3" s="24" t="s">
        <v>21</v>
      </c>
      <c r="G3" s="33" t="s">
        <v>22</v>
      </c>
      <c r="H3" s="34" t="s">
        <v>23</v>
      </c>
      <c r="I3" s="35" t="s">
        <v>24</v>
      </c>
      <c r="J3" s="24" t="s">
        <v>25</v>
      </c>
      <c r="K3" s="36">
        <v>25</v>
      </c>
      <c r="L3" s="36">
        <v>4</v>
      </c>
      <c r="M3" s="36">
        <f>L3*5</f>
        <v>20</v>
      </c>
      <c r="N3" s="37" t="s">
        <v>26</v>
      </c>
      <c r="O3" s="38">
        <v>6.8199999999999997E-2</v>
      </c>
      <c r="P3" s="38">
        <f>O3*L3</f>
        <v>0.27279999999999999</v>
      </c>
      <c r="Q3" s="38">
        <v>6.8199999999999997E-2</v>
      </c>
      <c r="R3" s="39">
        <f>Q3*K3</f>
        <v>1.7049999999999998</v>
      </c>
      <c r="S3" s="36"/>
      <c r="T3" s="40"/>
    </row>
    <row r="4" spans="1:21" ht="39" thickBot="1">
      <c r="A4" s="6">
        <v>2</v>
      </c>
      <c r="B4" s="144"/>
      <c r="C4" s="41" t="s">
        <v>27</v>
      </c>
      <c r="D4" s="94" t="s">
        <v>163</v>
      </c>
      <c r="E4" s="25" t="s">
        <v>28</v>
      </c>
      <c r="F4" s="25" t="s">
        <v>29</v>
      </c>
      <c r="G4" s="42" t="s">
        <v>30</v>
      </c>
      <c r="H4" s="43" t="s">
        <v>31</v>
      </c>
      <c r="I4" s="26" t="s">
        <v>24</v>
      </c>
      <c r="J4" s="25" t="s">
        <v>32</v>
      </c>
      <c r="K4" s="44">
        <v>150</v>
      </c>
      <c r="L4" s="44">
        <v>24</v>
      </c>
      <c r="M4" s="44">
        <f t="shared" ref="M4:M29" si="0">L4*5</f>
        <v>120</v>
      </c>
      <c r="N4" s="45" t="s">
        <v>26</v>
      </c>
      <c r="O4" s="46">
        <v>4.7000000000000002E-3</v>
      </c>
      <c r="P4" s="46">
        <f t="shared" ref="P4:P27" si="1">O4*L4</f>
        <v>0.11280000000000001</v>
      </c>
      <c r="Q4" s="46">
        <v>8.2000000000000007E-3</v>
      </c>
      <c r="R4" s="47">
        <f t="shared" ref="R4:R27" si="2">Q4*K4</f>
        <v>1.2300000000000002</v>
      </c>
      <c r="S4" s="44"/>
      <c r="T4" s="48"/>
    </row>
    <row r="5" spans="1:21" ht="15.75" thickBot="1">
      <c r="A5" s="6">
        <v>3</v>
      </c>
      <c r="B5" s="144"/>
      <c r="C5" s="41" t="s">
        <v>33</v>
      </c>
      <c r="D5" s="49" t="s">
        <v>34</v>
      </c>
      <c r="E5" s="25" t="s">
        <v>20</v>
      </c>
      <c r="F5" s="18" t="s">
        <v>35</v>
      </c>
      <c r="G5" s="42" t="s">
        <v>22</v>
      </c>
      <c r="H5" s="43" t="s">
        <v>36</v>
      </c>
      <c r="I5" s="49" t="s">
        <v>37</v>
      </c>
      <c r="J5" s="25" t="s">
        <v>38</v>
      </c>
      <c r="K5" s="44">
        <v>10</v>
      </c>
      <c r="L5" s="44">
        <v>1</v>
      </c>
      <c r="M5" s="44">
        <f t="shared" si="0"/>
        <v>5</v>
      </c>
      <c r="N5" s="45" t="s">
        <v>26</v>
      </c>
      <c r="O5" s="46">
        <v>0.12640000000000001</v>
      </c>
      <c r="P5" s="46">
        <f t="shared" si="1"/>
        <v>0.12640000000000001</v>
      </c>
      <c r="Q5" s="46">
        <v>0.12640000000000001</v>
      </c>
      <c r="R5" s="47">
        <f t="shared" si="2"/>
        <v>1.2640000000000002</v>
      </c>
      <c r="S5" s="44"/>
      <c r="T5" s="48"/>
      <c r="U5" s="17"/>
    </row>
    <row r="6" spans="1:21" ht="15.75" thickBot="1">
      <c r="A6" s="6">
        <v>4</v>
      </c>
      <c r="B6" s="144"/>
      <c r="C6" s="41" t="s">
        <v>39</v>
      </c>
      <c r="D6" s="49" t="s">
        <v>40</v>
      </c>
      <c r="E6" s="25" t="s">
        <v>28</v>
      </c>
      <c r="F6" s="18" t="s">
        <v>41</v>
      </c>
      <c r="G6" s="42" t="s">
        <v>42</v>
      </c>
      <c r="H6" s="43" t="s">
        <v>43</v>
      </c>
      <c r="I6" s="49" t="s">
        <v>44</v>
      </c>
      <c r="J6" s="25" t="s">
        <v>45</v>
      </c>
      <c r="K6" s="44">
        <v>20</v>
      </c>
      <c r="L6" s="44">
        <v>3</v>
      </c>
      <c r="M6" s="44">
        <f t="shared" si="0"/>
        <v>15</v>
      </c>
      <c r="N6" s="21" t="s">
        <v>26</v>
      </c>
      <c r="O6" s="50">
        <v>3.4700000000000002E-2</v>
      </c>
      <c r="P6" s="46">
        <f t="shared" si="1"/>
        <v>0.1041</v>
      </c>
      <c r="Q6" s="46">
        <v>3.4700000000000002E-2</v>
      </c>
      <c r="R6" s="47">
        <f t="shared" si="2"/>
        <v>0.69400000000000006</v>
      </c>
      <c r="S6" s="44"/>
      <c r="T6" s="48"/>
      <c r="U6" s="17"/>
    </row>
    <row r="7" spans="1:21" ht="15.75" thickBot="1">
      <c r="A7" s="6">
        <v>5</v>
      </c>
      <c r="B7" s="145"/>
      <c r="C7" s="51" t="s">
        <v>46</v>
      </c>
      <c r="D7" s="55" t="s">
        <v>47</v>
      </c>
      <c r="E7" s="52" t="s">
        <v>28</v>
      </c>
      <c r="F7" s="19" t="s">
        <v>48</v>
      </c>
      <c r="G7" s="53" t="s">
        <v>49</v>
      </c>
      <c r="H7" s="54" t="s">
        <v>50</v>
      </c>
      <c r="I7" s="55" t="s">
        <v>51</v>
      </c>
      <c r="J7" s="52" t="s">
        <v>52</v>
      </c>
      <c r="K7" s="56">
        <v>100</v>
      </c>
      <c r="L7" s="56">
        <v>4</v>
      </c>
      <c r="M7" s="56">
        <f t="shared" si="0"/>
        <v>20</v>
      </c>
      <c r="N7" s="57" t="s">
        <v>26</v>
      </c>
      <c r="O7" s="58">
        <v>3.0000000000000001E-3</v>
      </c>
      <c r="P7" s="59">
        <f t="shared" si="1"/>
        <v>1.2E-2</v>
      </c>
      <c r="Q7" s="59">
        <v>3.0000000000000001E-3</v>
      </c>
      <c r="R7" s="60">
        <f t="shared" si="2"/>
        <v>0.3</v>
      </c>
      <c r="S7" s="30"/>
      <c r="T7" s="61"/>
      <c r="U7" s="17"/>
    </row>
    <row r="8" spans="1:21" ht="15.75" thickBot="1">
      <c r="A8" s="6">
        <v>6</v>
      </c>
      <c r="B8" s="27" t="s">
        <v>53</v>
      </c>
      <c r="C8" s="62" t="s">
        <v>54</v>
      </c>
      <c r="D8" s="66" t="s">
        <v>55</v>
      </c>
      <c r="E8" s="63" t="s">
        <v>56</v>
      </c>
      <c r="F8" s="63" t="s">
        <v>57</v>
      </c>
      <c r="G8" s="64" t="s">
        <v>58</v>
      </c>
      <c r="H8" s="65" t="s">
        <v>59</v>
      </c>
      <c r="I8" s="66" t="s">
        <v>24</v>
      </c>
      <c r="J8" s="64" t="s">
        <v>60</v>
      </c>
      <c r="K8" s="67">
        <v>20</v>
      </c>
      <c r="L8" s="68">
        <v>3</v>
      </c>
      <c r="M8" s="68">
        <f t="shared" si="0"/>
        <v>15</v>
      </c>
      <c r="N8" s="69" t="s">
        <v>26</v>
      </c>
      <c r="O8" s="70">
        <v>6.5500000000000003E-2</v>
      </c>
      <c r="P8" s="70">
        <f t="shared" si="1"/>
        <v>0.19650000000000001</v>
      </c>
      <c r="Q8" s="70">
        <v>6.5500000000000003E-2</v>
      </c>
      <c r="R8" s="71">
        <f t="shared" si="2"/>
        <v>1.31</v>
      </c>
      <c r="S8" s="68"/>
      <c r="T8" s="72"/>
      <c r="U8" s="17"/>
    </row>
    <row r="9" spans="1:21" ht="15.75" thickBot="1">
      <c r="A9" s="6">
        <v>7</v>
      </c>
      <c r="B9" s="143" t="s">
        <v>61</v>
      </c>
      <c r="C9" s="32" t="s">
        <v>62</v>
      </c>
      <c r="D9" s="73" t="s">
        <v>63</v>
      </c>
      <c r="E9" s="24" t="s">
        <v>64</v>
      </c>
      <c r="F9" s="24" t="s">
        <v>65</v>
      </c>
      <c r="G9" s="33" t="s">
        <v>66</v>
      </c>
      <c r="H9" s="34" t="s">
        <v>67</v>
      </c>
      <c r="I9" s="73" t="s">
        <v>24</v>
      </c>
      <c r="J9" s="33" t="s">
        <v>60</v>
      </c>
      <c r="K9" s="74">
        <v>50</v>
      </c>
      <c r="L9" s="36">
        <v>5</v>
      </c>
      <c r="M9" s="36">
        <f t="shared" si="0"/>
        <v>25</v>
      </c>
      <c r="N9" s="37" t="s">
        <v>26</v>
      </c>
      <c r="O9" s="38">
        <v>6.8999999999999999E-3</v>
      </c>
      <c r="P9" s="38">
        <f t="shared" si="1"/>
        <v>3.4500000000000003E-2</v>
      </c>
      <c r="Q9" s="38">
        <v>6.8999999999999999E-3</v>
      </c>
      <c r="R9" s="39">
        <f t="shared" si="2"/>
        <v>0.34499999999999997</v>
      </c>
      <c r="S9" s="36"/>
      <c r="T9" s="40"/>
      <c r="U9" s="17"/>
    </row>
    <row r="10" spans="1:21" ht="15.75" thickBot="1">
      <c r="A10" s="6">
        <v>8</v>
      </c>
      <c r="B10" s="145"/>
      <c r="C10" s="51" t="s">
        <v>68</v>
      </c>
      <c r="D10" s="55" t="s">
        <v>69</v>
      </c>
      <c r="E10" s="52" t="s">
        <v>70</v>
      </c>
      <c r="F10" s="52" t="s">
        <v>71</v>
      </c>
      <c r="G10" s="53" t="s">
        <v>72</v>
      </c>
      <c r="H10" s="54" t="s">
        <v>73</v>
      </c>
      <c r="I10" s="55" t="s">
        <v>24</v>
      </c>
      <c r="J10" s="53" t="s">
        <v>60</v>
      </c>
      <c r="K10" s="75">
        <v>10</v>
      </c>
      <c r="L10" s="56">
        <v>1</v>
      </c>
      <c r="M10" s="56">
        <f t="shared" si="0"/>
        <v>5</v>
      </c>
      <c r="N10" s="76" t="s">
        <v>26</v>
      </c>
      <c r="O10" s="59">
        <v>4.9599999999999998E-2</v>
      </c>
      <c r="P10" s="59">
        <f t="shared" si="1"/>
        <v>4.9599999999999998E-2</v>
      </c>
      <c r="Q10" s="59">
        <v>4.9599999999999998E-2</v>
      </c>
      <c r="R10" s="60">
        <f t="shared" si="2"/>
        <v>0.496</v>
      </c>
      <c r="S10" s="56"/>
      <c r="T10" s="61"/>
      <c r="U10" s="17"/>
    </row>
    <row r="11" spans="1:21" ht="26.25" thickBot="1">
      <c r="A11" s="6">
        <v>9</v>
      </c>
      <c r="B11" s="143" t="s">
        <v>74</v>
      </c>
      <c r="C11" s="32" t="s">
        <v>75</v>
      </c>
      <c r="D11" s="95" t="s">
        <v>76</v>
      </c>
      <c r="E11" s="24" t="s">
        <v>77</v>
      </c>
      <c r="F11" s="24" t="s">
        <v>78</v>
      </c>
      <c r="G11" s="33" t="s">
        <v>30</v>
      </c>
      <c r="H11" s="34" t="s">
        <v>79</v>
      </c>
      <c r="I11" s="73" t="s">
        <v>24</v>
      </c>
      <c r="J11" s="24" t="s">
        <v>80</v>
      </c>
      <c r="K11" s="77">
        <v>100</v>
      </c>
      <c r="L11" s="36">
        <v>12</v>
      </c>
      <c r="M11" s="36">
        <f t="shared" si="0"/>
        <v>60</v>
      </c>
      <c r="N11" s="29" t="s">
        <v>26</v>
      </c>
      <c r="O11" s="38">
        <v>1.4E-3</v>
      </c>
      <c r="P11" s="38">
        <f t="shared" si="1"/>
        <v>1.6799999999999999E-2</v>
      </c>
      <c r="Q11" s="38">
        <v>1.4E-3</v>
      </c>
      <c r="R11" s="39">
        <f t="shared" si="2"/>
        <v>0.13999999999999999</v>
      </c>
      <c r="S11" s="36"/>
      <c r="T11" s="40"/>
      <c r="U11" s="17"/>
    </row>
    <row r="12" spans="1:21" ht="15.75" thickBot="1">
      <c r="A12" s="6">
        <v>10</v>
      </c>
      <c r="B12" s="144"/>
      <c r="C12" s="41" t="s">
        <v>81</v>
      </c>
      <c r="D12" s="49" t="s">
        <v>82</v>
      </c>
      <c r="E12" s="25" t="s">
        <v>77</v>
      </c>
      <c r="F12" s="25" t="s">
        <v>83</v>
      </c>
      <c r="G12" s="42" t="s">
        <v>30</v>
      </c>
      <c r="H12" s="43" t="s">
        <v>84</v>
      </c>
      <c r="I12" s="49" t="s">
        <v>24</v>
      </c>
      <c r="J12" s="25" t="s">
        <v>85</v>
      </c>
      <c r="K12" s="78">
        <v>100</v>
      </c>
      <c r="L12" s="44">
        <v>3</v>
      </c>
      <c r="M12" s="44">
        <f t="shared" si="0"/>
        <v>15</v>
      </c>
      <c r="N12" s="21" t="s">
        <v>26</v>
      </c>
      <c r="O12" s="46">
        <v>1.4E-3</v>
      </c>
      <c r="P12" s="46">
        <f t="shared" si="1"/>
        <v>4.1999999999999997E-3</v>
      </c>
      <c r="Q12" s="46">
        <v>1.4E-3</v>
      </c>
      <c r="R12" s="47">
        <f t="shared" si="2"/>
        <v>0.13999999999999999</v>
      </c>
      <c r="S12" s="44"/>
      <c r="T12" s="48"/>
      <c r="U12" s="17"/>
    </row>
    <row r="13" spans="1:21" ht="15.75" thickBot="1">
      <c r="A13" s="6">
        <v>11</v>
      </c>
      <c r="B13" s="144"/>
      <c r="C13" s="41" t="s">
        <v>86</v>
      </c>
      <c r="D13" s="49" t="s">
        <v>87</v>
      </c>
      <c r="E13" s="25" t="s">
        <v>77</v>
      </c>
      <c r="F13" s="25" t="s">
        <v>88</v>
      </c>
      <c r="G13" s="42" t="s">
        <v>30</v>
      </c>
      <c r="H13" s="43" t="s">
        <v>89</v>
      </c>
      <c r="I13" s="49" t="s">
        <v>24</v>
      </c>
      <c r="J13" s="25" t="s">
        <v>90</v>
      </c>
      <c r="K13" s="78">
        <v>100</v>
      </c>
      <c r="L13" s="44">
        <v>1</v>
      </c>
      <c r="M13" s="44">
        <f t="shared" si="0"/>
        <v>5</v>
      </c>
      <c r="N13" s="79" t="s">
        <v>26</v>
      </c>
      <c r="O13" s="80">
        <v>1.4E-3</v>
      </c>
      <c r="P13" s="46">
        <f t="shared" si="1"/>
        <v>1.4E-3</v>
      </c>
      <c r="Q13" s="46">
        <v>1.4E-3</v>
      </c>
      <c r="R13" s="47">
        <f t="shared" si="2"/>
        <v>0.13999999999999999</v>
      </c>
      <c r="S13" s="78"/>
      <c r="T13" s="48"/>
      <c r="U13" s="17"/>
    </row>
    <row r="14" spans="1:21" ht="15.75" thickBot="1">
      <c r="A14" s="6">
        <v>12</v>
      </c>
      <c r="B14" s="144"/>
      <c r="C14" s="41" t="s">
        <v>91</v>
      </c>
      <c r="D14" s="49" t="s">
        <v>92</v>
      </c>
      <c r="E14" s="25" t="s">
        <v>77</v>
      </c>
      <c r="F14" s="25" t="s">
        <v>93</v>
      </c>
      <c r="G14" s="42" t="s">
        <v>30</v>
      </c>
      <c r="H14" s="43" t="s">
        <v>94</v>
      </c>
      <c r="I14" s="49" t="s">
        <v>24</v>
      </c>
      <c r="J14" s="25" t="s">
        <v>95</v>
      </c>
      <c r="K14" s="78">
        <v>100</v>
      </c>
      <c r="L14" s="44">
        <v>4</v>
      </c>
      <c r="M14" s="44">
        <f t="shared" si="0"/>
        <v>20</v>
      </c>
      <c r="N14" s="21" t="s">
        <v>26</v>
      </c>
      <c r="O14" s="46">
        <v>1.4E-3</v>
      </c>
      <c r="P14" s="46">
        <f t="shared" si="1"/>
        <v>5.5999999999999999E-3</v>
      </c>
      <c r="Q14" s="46">
        <v>1.4E-3</v>
      </c>
      <c r="R14" s="47">
        <f t="shared" si="2"/>
        <v>0.13999999999999999</v>
      </c>
      <c r="S14" s="44"/>
      <c r="T14" s="48"/>
      <c r="U14" s="17"/>
    </row>
    <row r="15" spans="1:21" ht="15.75" thickBot="1">
      <c r="A15" s="6">
        <v>13</v>
      </c>
      <c r="B15" s="146"/>
      <c r="C15" s="96" t="s">
        <v>96</v>
      </c>
      <c r="D15" s="94" t="s">
        <v>97</v>
      </c>
      <c r="E15" s="97" t="s">
        <v>77</v>
      </c>
      <c r="F15" s="97" t="s">
        <v>98</v>
      </c>
      <c r="G15" s="42" t="s">
        <v>30</v>
      </c>
      <c r="H15" s="43" t="s">
        <v>99</v>
      </c>
      <c r="I15" s="49" t="s">
        <v>24</v>
      </c>
      <c r="J15" s="97" t="s">
        <v>100</v>
      </c>
      <c r="K15" s="78">
        <v>100</v>
      </c>
      <c r="L15" s="97">
        <v>2</v>
      </c>
      <c r="M15" s="44">
        <f t="shared" si="0"/>
        <v>10</v>
      </c>
      <c r="N15" s="98" t="s">
        <v>26</v>
      </c>
      <c r="O15" s="46">
        <v>1.5E-3</v>
      </c>
      <c r="P15" s="46">
        <f t="shared" si="1"/>
        <v>3.0000000000000001E-3</v>
      </c>
      <c r="Q15" s="46">
        <v>1.5E-3</v>
      </c>
      <c r="R15" s="47">
        <f t="shared" si="2"/>
        <v>0.15</v>
      </c>
      <c r="S15" s="44"/>
      <c r="T15" s="48"/>
      <c r="U15" s="17"/>
    </row>
    <row r="16" spans="1:21" ht="15.75" thickBot="1">
      <c r="A16" s="6">
        <v>14</v>
      </c>
      <c r="B16" s="146"/>
      <c r="C16" s="96" t="s">
        <v>101</v>
      </c>
      <c r="D16" s="94" t="s">
        <v>102</v>
      </c>
      <c r="E16" s="97" t="s">
        <v>77</v>
      </c>
      <c r="F16" s="97" t="s">
        <v>103</v>
      </c>
      <c r="G16" s="42" t="s">
        <v>30</v>
      </c>
      <c r="H16" s="43" t="s">
        <v>104</v>
      </c>
      <c r="I16" s="49" t="s">
        <v>24</v>
      </c>
      <c r="J16" s="97" t="s">
        <v>105</v>
      </c>
      <c r="K16" s="78">
        <v>100</v>
      </c>
      <c r="L16" s="97">
        <v>1</v>
      </c>
      <c r="M16" s="44">
        <f t="shared" si="0"/>
        <v>5</v>
      </c>
      <c r="N16" s="98" t="s">
        <v>26</v>
      </c>
      <c r="O16" s="46">
        <v>1.6000000000000001E-3</v>
      </c>
      <c r="P16" s="46">
        <f t="shared" si="1"/>
        <v>1.6000000000000001E-3</v>
      </c>
      <c r="Q16" s="46">
        <v>1.6000000000000001E-3</v>
      </c>
      <c r="R16" s="47">
        <f t="shared" si="2"/>
        <v>0.16</v>
      </c>
      <c r="S16" s="44"/>
      <c r="T16" s="48"/>
      <c r="U16" s="17"/>
    </row>
    <row r="17" spans="1:21" ht="15.75" thickBot="1">
      <c r="A17" s="6">
        <v>15</v>
      </c>
      <c r="B17" s="145"/>
      <c r="C17" s="51" t="s">
        <v>106</v>
      </c>
      <c r="D17" s="55" t="s">
        <v>107</v>
      </c>
      <c r="E17" s="52" t="s">
        <v>77</v>
      </c>
      <c r="F17" s="52" t="s">
        <v>108</v>
      </c>
      <c r="G17" s="53" t="s">
        <v>109</v>
      </c>
      <c r="H17" s="54" t="s">
        <v>110</v>
      </c>
      <c r="I17" s="55" t="s">
        <v>24</v>
      </c>
      <c r="J17" s="52" t="s">
        <v>111</v>
      </c>
      <c r="K17" s="56">
        <v>100</v>
      </c>
      <c r="L17" s="56">
        <v>1</v>
      </c>
      <c r="M17" s="56">
        <f t="shared" si="0"/>
        <v>5</v>
      </c>
      <c r="N17" s="57" t="s">
        <v>26</v>
      </c>
      <c r="O17" s="59">
        <v>1.6799999999999999E-2</v>
      </c>
      <c r="P17" s="59">
        <f t="shared" si="1"/>
        <v>1.6799999999999999E-2</v>
      </c>
      <c r="Q17" s="59">
        <v>1.6799999999999999E-2</v>
      </c>
      <c r="R17" s="60">
        <f t="shared" si="2"/>
        <v>1.68</v>
      </c>
      <c r="S17" s="56"/>
      <c r="T17" s="61"/>
      <c r="U17" s="17"/>
    </row>
    <row r="18" spans="1:21" ht="15.75" thickBot="1">
      <c r="A18" s="6">
        <v>16</v>
      </c>
      <c r="B18" s="27" t="s">
        <v>112</v>
      </c>
      <c r="C18" s="81" t="s">
        <v>113</v>
      </c>
      <c r="D18" s="66" t="s">
        <v>114</v>
      </c>
      <c r="E18" s="66" t="s">
        <v>115</v>
      </c>
      <c r="F18" s="66" t="s">
        <v>116</v>
      </c>
      <c r="G18" s="28" t="s">
        <v>117</v>
      </c>
      <c r="H18" s="28" t="s">
        <v>24</v>
      </c>
      <c r="I18" s="66" t="s">
        <v>24</v>
      </c>
      <c r="J18" s="28" t="s">
        <v>60</v>
      </c>
      <c r="K18" s="82">
        <v>10</v>
      </c>
      <c r="L18" s="68">
        <v>1</v>
      </c>
      <c r="M18" s="68">
        <f t="shared" si="0"/>
        <v>5</v>
      </c>
      <c r="N18" s="69" t="s">
        <v>26</v>
      </c>
      <c r="O18" s="70">
        <v>7.2700000000000001E-2</v>
      </c>
      <c r="P18" s="70">
        <f t="shared" si="1"/>
        <v>7.2700000000000001E-2</v>
      </c>
      <c r="Q18" s="70">
        <v>7.2700000000000001E-2</v>
      </c>
      <c r="R18" s="71">
        <f t="shared" si="2"/>
        <v>0.72699999999999998</v>
      </c>
      <c r="S18" s="68"/>
      <c r="T18" s="72"/>
      <c r="U18" s="17"/>
    </row>
    <row r="19" spans="1:21" ht="15.75" thickBot="1">
      <c r="A19" s="6">
        <v>17</v>
      </c>
      <c r="B19" s="143" t="s">
        <v>118</v>
      </c>
      <c r="C19" s="101" t="s">
        <v>119</v>
      </c>
      <c r="D19" s="102" t="s">
        <v>120</v>
      </c>
      <c r="E19" s="103" t="s">
        <v>172</v>
      </c>
      <c r="F19" s="102" t="s">
        <v>121</v>
      </c>
      <c r="G19" s="105" t="s">
        <v>173</v>
      </c>
      <c r="H19" s="110" t="s">
        <v>168</v>
      </c>
      <c r="I19" s="110" t="s">
        <v>174</v>
      </c>
      <c r="J19" s="110" t="s">
        <v>60</v>
      </c>
      <c r="K19" s="105">
        <v>5</v>
      </c>
      <c r="L19" s="103">
        <v>1</v>
      </c>
      <c r="M19" s="103">
        <f t="shared" si="0"/>
        <v>5</v>
      </c>
      <c r="N19" s="111" t="s">
        <v>145</v>
      </c>
      <c r="O19" s="112">
        <v>21.26</v>
      </c>
      <c r="P19" s="106">
        <f t="shared" si="1"/>
        <v>21.26</v>
      </c>
      <c r="Q19" s="112">
        <v>21.26</v>
      </c>
      <c r="R19" s="113">
        <f t="shared" si="2"/>
        <v>106.30000000000001</v>
      </c>
      <c r="S19" s="77"/>
      <c r="T19" s="40"/>
      <c r="U19" s="17"/>
    </row>
    <row r="20" spans="1:21" ht="15.75" thickBot="1">
      <c r="A20" s="6">
        <v>18</v>
      </c>
      <c r="B20" s="144"/>
      <c r="C20" s="83" t="s">
        <v>122</v>
      </c>
      <c r="D20" s="49" t="s">
        <v>123</v>
      </c>
      <c r="E20" s="49" t="s">
        <v>124</v>
      </c>
      <c r="F20" s="49" t="s">
        <v>125</v>
      </c>
      <c r="G20" s="26" t="s">
        <v>126</v>
      </c>
      <c r="H20" s="43" t="s">
        <v>127</v>
      </c>
      <c r="I20" s="49" t="s">
        <v>24</v>
      </c>
      <c r="J20" s="26" t="s">
        <v>60</v>
      </c>
      <c r="K20" s="43">
        <v>6</v>
      </c>
      <c r="L20" s="44">
        <v>1</v>
      </c>
      <c r="M20" s="44">
        <f t="shared" si="0"/>
        <v>5</v>
      </c>
      <c r="N20" s="21" t="s">
        <v>26</v>
      </c>
      <c r="O20" s="80">
        <v>0.44</v>
      </c>
      <c r="P20" s="46">
        <f t="shared" si="1"/>
        <v>0.44</v>
      </c>
      <c r="Q20" s="46">
        <v>0.44</v>
      </c>
      <c r="R20" s="47">
        <f t="shared" si="2"/>
        <v>2.64</v>
      </c>
      <c r="S20" s="78"/>
      <c r="T20" s="48"/>
      <c r="U20" s="17"/>
    </row>
    <row r="21" spans="1:21" ht="15.75" thickBot="1">
      <c r="A21" s="6">
        <v>19</v>
      </c>
      <c r="B21" s="144"/>
      <c r="C21" s="131" t="s">
        <v>128</v>
      </c>
      <c r="D21" s="114" t="s">
        <v>129</v>
      </c>
      <c r="E21" s="114" t="s">
        <v>124</v>
      </c>
      <c r="F21" s="114" t="s">
        <v>130</v>
      </c>
      <c r="G21" s="115" t="s">
        <v>131</v>
      </c>
      <c r="H21" s="115" t="s">
        <v>24</v>
      </c>
      <c r="I21" s="114" t="s">
        <v>24</v>
      </c>
      <c r="J21" s="115" t="s">
        <v>60</v>
      </c>
      <c r="K21" s="116">
        <v>10</v>
      </c>
      <c r="L21" s="117">
        <v>1</v>
      </c>
      <c r="M21" s="117">
        <f t="shared" si="0"/>
        <v>5</v>
      </c>
      <c r="N21" s="118" t="s">
        <v>150</v>
      </c>
      <c r="O21" s="119">
        <v>17.38</v>
      </c>
      <c r="P21" s="120">
        <f t="shared" si="1"/>
        <v>17.38</v>
      </c>
      <c r="Q21" s="120">
        <v>1.738</v>
      </c>
      <c r="R21" s="121">
        <f t="shared" si="2"/>
        <v>17.38</v>
      </c>
      <c r="S21" s="22" t="s">
        <v>166</v>
      </c>
      <c r="T21" s="48">
        <v>1.1904999999999999</v>
      </c>
      <c r="U21" s="17"/>
    </row>
    <row r="22" spans="1:21" ht="15.75" thickBot="1">
      <c r="A22" s="6">
        <v>20</v>
      </c>
      <c r="B22" s="145"/>
      <c r="C22" s="132" t="s">
        <v>132</v>
      </c>
      <c r="D22" s="122" t="s">
        <v>133</v>
      </c>
      <c r="E22" s="122" t="s">
        <v>134</v>
      </c>
      <c r="F22" s="122" t="s">
        <v>135</v>
      </c>
      <c r="G22" s="122" t="s">
        <v>136</v>
      </c>
      <c r="H22" s="122" t="s">
        <v>137</v>
      </c>
      <c r="I22" s="122" t="s">
        <v>24</v>
      </c>
      <c r="J22" s="123" t="s">
        <v>60</v>
      </c>
      <c r="K22" s="124">
        <v>10</v>
      </c>
      <c r="L22" s="125">
        <v>1</v>
      </c>
      <c r="M22" s="125">
        <f t="shared" si="0"/>
        <v>5</v>
      </c>
      <c r="N22" s="126" t="s">
        <v>150</v>
      </c>
      <c r="O22" s="127">
        <v>9.4499999999999993</v>
      </c>
      <c r="P22" s="127">
        <f t="shared" si="1"/>
        <v>9.4499999999999993</v>
      </c>
      <c r="Q22" s="127">
        <v>0.94499999999999995</v>
      </c>
      <c r="R22" s="128">
        <f t="shared" si="2"/>
        <v>9.4499999999999993</v>
      </c>
      <c r="S22" s="30" t="s">
        <v>166</v>
      </c>
      <c r="T22" s="61">
        <v>0.79400000000000004</v>
      </c>
      <c r="U22" s="17"/>
    </row>
    <row r="23" spans="1:21" ht="15.75" thickBot="1">
      <c r="A23" s="6">
        <v>21</v>
      </c>
      <c r="B23" s="143" t="s">
        <v>138</v>
      </c>
      <c r="C23" s="101" t="s">
        <v>139</v>
      </c>
      <c r="D23" s="102" t="s">
        <v>140</v>
      </c>
      <c r="E23" s="102" t="s">
        <v>115</v>
      </c>
      <c r="F23" s="102" t="s">
        <v>141</v>
      </c>
      <c r="G23" s="103" t="s">
        <v>181</v>
      </c>
      <c r="H23" s="104"/>
      <c r="I23" s="105"/>
      <c r="J23" s="105"/>
      <c r="K23" s="105"/>
      <c r="L23" s="103">
        <v>1</v>
      </c>
      <c r="M23" s="36">
        <f t="shared" si="0"/>
        <v>5</v>
      </c>
      <c r="N23" s="29"/>
      <c r="O23" s="106"/>
      <c r="P23" s="38">
        <f t="shared" si="1"/>
        <v>0</v>
      </c>
      <c r="Q23" s="38"/>
      <c r="R23" s="39">
        <f t="shared" si="2"/>
        <v>0</v>
      </c>
      <c r="S23" s="107"/>
      <c r="T23" s="108" t="s">
        <v>161</v>
      </c>
      <c r="U23" s="17"/>
    </row>
    <row r="24" spans="1:21" ht="15.75" thickBot="1">
      <c r="A24" s="6">
        <v>22</v>
      </c>
      <c r="B24" s="145"/>
      <c r="C24" s="132" t="s">
        <v>142</v>
      </c>
      <c r="D24" s="122" t="s">
        <v>143</v>
      </c>
      <c r="E24" s="122" t="s">
        <v>115</v>
      </c>
      <c r="F24" s="122" t="s">
        <v>144</v>
      </c>
      <c r="G24" s="122" t="s">
        <v>168</v>
      </c>
      <c r="H24" s="122" t="s">
        <v>24</v>
      </c>
      <c r="I24" s="122" t="s">
        <v>168</v>
      </c>
      <c r="J24" s="122" t="s">
        <v>169</v>
      </c>
      <c r="K24" s="124">
        <v>7</v>
      </c>
      <c r="L24" s="125">
        <v>1</v>
      </c>
      <c r="M24" s="125">
        <f t="shared" si="0"/>
        <v>5</v>
      </c>
      <c r="N24" s="126" t="s">
        <v>145</v>
      </c>
      <c r="O24" s="129">
        <v>0.86619999999999997</v>
      </c>
      <c r="P24" s="127">
        <f t="shared" si="1"/>
        <v>0.86619999999999997</v>
      </c>
      <c r="Q24" s="129">
        <v>0.86619999999999997</v>
      </c>
      <c r="R24" s="128">
        <f t="shared" si="2"/>
        <v>6.0633999999999997</v>
      </c>
      <c r="S24" s="109"/>
      <c r="T24" s="61"/>
      <c r="U24" s="17"/>
    </row>
    <row r="25" spans="1:21" ht="39" customHeight="1" thickBot="1">
      <c r="A25" s="6">
        <v>23</v>
      </c>
      <c r="B25" s="147" t="s">
        <v>146</v>
      </c>
      <c r="C25" s="134" t="s">
        <v>175</v>
      </c>
      <c r="D25" s="130" t="s">
        <v>177</v>
      </c>
      <c r="E25" s="130" t="s">
        <v>147</v>
      </c>
      <c r="F25" s="130" t="s">
        <v>148</v>
      </c>
      <c r="G25" s="130" t="s">
        <v>149</v>
      </c>
      <c r="H25" s="130" t="s">
        <v>168</v>
      </c>
      <c r="I25" s="130" t="s">
        <v>24</v>
      </c>
      <c r="J25" s="130" t="s">
        <v>169</v>
      </c>
      <c r="K25" s="154">
        <v>5</v>
      </c>
      <c r="L25" s="133">
        <v>2</v>
      </c>
      <c r="M25" s="133">
        <f t="shared" si="0"/>
        <v>10</v>
      </c>
      <c r="N25" s="148" t="s">
        <v>150</v>
      </c>
      <c r="O25" s="150">
        <v>11.53</v>
      </c>
      <c r="P25" s="150">
        <v>11.53</v>
      </c>
      <c r="Q25" s="150">
        <v>2.306</v>
      </c>
      <c r="R25" s="152">
        <f t="shared" si="2"/>
        <v>11.530000000000001</v>
      </c>
      <c r="S25" s="136" t="s">
        <v>182</v>
      </c>
      <c r="T25" s="100"/>
      <c r="U25" s="17"/>
    </row>
    <row r="26" spans="1:21" ht="15.75" thickBot="1">
      <c r="A26" s="6">
        <v>24</v>
      </c>
      <c r="B26" s="147"/>
      <c r="C26" s="131" t="s">
        <v>176</v>
      </c>
      <c r="D26" s="130" t="s">
        <v>179</v>
      </c>
      <c r="E26" s="114" t="s">
        <v>178</v>
      </c>
      <c r="F26" s="114" t="s">
        <v>180</v>
      </c>
      <c r="G26" s="114" t="s">
        <v>149</v>
      </c>
      <c r="H26" s="130" t="s">
        <v>168</v>
      </c>
      <c r="I26" s="130" t="s">
        <v>174</v>
      </c>
      <c r="J26" s="130" t="s">
        <v>169</v>
      </c>
      <c r="K26" s="155"/>
      <c r="L26" s="133">
        <v>1</v>
      </c>
      <c r="M26" s="133">
        <f t="shared" si="0"/>
        <v>5</v>
      </c>
      <c r="N26" s="149"/>
      <c r="O26" s="151"/>
      <c r="P26" s="151"/>
      <c r="Q26" s="151"/>
      <c r="R26" s="153"/>
      <c r="S26" s="137"/>
      <c r="T26" s="100"/>
      <c r="U26" s="17"/>
    </row>
    <row r="27" spans="1:21" ht="15.75" thickBot="1">
      <c r="A27" s="6">
        <v>25</v>
      </c>
      <c r="B27" s="144"/>
      <c r="C27" s="131" t="s">
        <v>183</v>
      </c>
      <c r="D27" s="114" t="s">
        <v>151</v>
      </c>
      <c r="E27" s="114" t="s">
        <v>115</v>
      </c>
      <c r="F27" s="114" t="s">
        <v>184</v>
      </c>
      <c r="G27" s="114" t="s">
        <v>185</v>
      </c>
      <c r="H27" s="114" t="s">
        <v>170</v>
      </c>
      <c r="I27" s="114" t="s">
        <v>167</v>
      </c>
      <c r="J27" s="114" t="s">
        <v>169</v>
      </c>
      <c r="K27" s="117">
        <v>10</v>
      </c>
      <c r="L27" s="117">
        <v>1</v>
      </c>
      <c r="M27" s="117">
        <f t="shared" si="0"/>
        <v>5</v>
      </c>
      <c r="N27" s="126" t="s">
        <v>150</v>
      </c>
      <c r="O27" s="120">
        <v>5.04</v>
      </c>
      <c r="P27" s="120">
        <f t="shared" si="1"/>
        <v>5.04</v>
      </c>
      <c r="Q27" s="120">
        <v>0.504</v>
      </c>
      <c r="R27" s="121">
        <f t="shared" si="2"/>
        <v>5.04</v>
      </c>
      <c r="S27" s="78"/>
      <c r="T27" s="48"/>
      <c r="U27" s="17"/>
    </row>
    <row r="28" spans="1:21" ht="15.75" thickBot="1">
      <c r="A28" s="6">
        <v>26</v>
      </c>
      <c r="B28" s="144"/>
      <c r="C28" s="84" t="s">
        <v>152</v>
      </c>
      <c r="D28" s="23" t="s">
        <v>153</v>
      </c>
      <c r="E28" s="23" t="s">
        <v>154</v>
      </c>
      <c r="F28" s="85" t="s">
        <v>154</v>
      </c>
      <c r="G28" s="23" t="s">
        <v>167</v>
      </c>
      <c r="H28" s="23" t="s">
        <v>167</v>
      </c>
      <c r="I28" s="23" t="s">
        <v>167</v>
      </c>
      <c r="J28" s="23" t="s">
        <v>168</v>
      </c>
      <c r="K28" s="23" t="s">
        <v>167</v>
      </c>
      <c r="L28" s="86">
        <v>5</v>
      </c>
      <c r="M28" s="44">
        <f t="shared" si="0"/>
        <v>25</v>
      </c>
      <c r="N28" s="23" t="s">
        <v>167</v>
      </c>
      <c r="O28" s="23" t="s">
        <v>167</v>
      </c>
      <c r="P28" s="23" t="s">
        <v>167</v>
      </c>
      <c r="Q28" s="23" t="s">
        <v>167</v>
      </c>
      <c r="R28" s="23" t="s">
        <v>167</v>
      </c>
      <c r="S28" s="87" t="s">
        <v>155</v>
      </c>
      <c r="T28" s="88"/>
      <c r="U28" s="17"/>
    </row>
    <row r="29" spans="1:21" ht="15.75" thickBot="1">
      <c r="A29" s="135">
        <v>27</v>
      </c>
      <c r="B29" s="145"/>
      <c r="C29" s="89" t="s">
        <v>156</v>
      </c>
      <c r="D29" s="90" t="s">
        <v>157</v>
      </c>
      <c r="E29" s="31" t="s">
        <v>158</v>
      </c>
      <c r="F29" s="90" t="s">
        <v>158</v>
      </c>
      <c r="G29" s="31" t="s">
        <v>167</v>
      </c>
      <c r="H29" s="31" t="s">
        <v>167</v>
      </c>
      <c r="I29" s="31" t="s">
        <v>167</v>
      </c>
      <c r="J29" s="31" t="s">
        <v>168</v>
      </c>
      <c r="K29" s="31" t="s">
        <v>167</v>
      </c>
      <c r="L29" s="91">
        <v>3</v>
      </c>
      <c r="M29" s="56">
        <f t="shared" si="0"/>
        <v>15</v>
      </c>
      <c r="N29" s="31" t="s">
        <v>167</v>
      </c>
      <c r="O29" s="31" t="s">
        <v>167</v>
      </c>
      <c r="P29" s="31" t="s">
        <v>167</v>
      </c>
      <c r="Q29" s="31" t="s">
        <v>167</v>
      </c>
      <c r="R29" s="31" t="s">
        <v>167</v>
      </c>
      <c r="S29" s="92" t="s">
        <v>155</v>
      </c>
      <c r="T29" s="93"/>
      <c r="U29" s="17"/>
    </row>
    <row r="30" spans="1:21" ht="16.5" thickBot="1">
      <c r="A30" s="1"/>
      <c r="C30" s="7"/>
      <c r="D30" s="8"/>
      <c r="E30" s="7"/>
      <c r="G30" s="7"/>
      <c r="H30" s="7"/>
      <c r="I30" s="7"/>
      <c r="J30" s="7"/>
      <c r="K30" s="7"/>
      <c r="L30" s="141" t="s">
        <v>159</v>
      </c>
      <c r="M30" s="141"/>
      <c r="N30" s="141"/>
      <c r="O30" s="141"/>
      <c r="P30" s="99">
        <f>SUM(P3:P27)</f>
        <v>66.997</v>
      </c>
      <c r="R30" s="15">
        <f>SUM(R3:R27)</f>
        <v>169.02439999999999</v>
      </c>
      <c r="S30" s="7"/>
      <c r="T30" s="7"/>
      <c r="U30" s="17"/>
    </row>
    <row r="31" spans="1:21" ht="16.5" thickBot="1">
      <c r="A31" s="1"/>
      <c r="C31" s="7"/>
      <c r="E31" s="9"/>
      <c r="F31" s="9"/>
      <c r="G31" s="7"/>
      <c r="H31" s="7"/>
      <c r="I31" s="7"/>
      <c r="J31" s="7"/>
      <c r="K31" s="7"/>
      <c r="L31" s="142" t="s">
        <v>160</v>
      </c>
      <c r="M31" s="142"/>
      <c r="N31" s="142"/>
      <c r="O31" s="142"/>
      <c r="R31" s="16">
        <f>R30/5</f>
        <v>33.804879999999997</v>
      </c>
      <c r="S31" s="7"/>
      <c r="T31" s="7"/>
      <c r="U31" s="17"/>
    </row>
    <row r="32" spans="1:21">
      <c r="A32" s="1"/>
      <c r="D32" s="10"/>
      <c r="E32" s="9"/>
      <c r="T32" s="17"/>
      <c r="U32" s="17"/>
    </row>
    <row r="33" spans="1:21">
      <c r="A33" s="1"/>
      <c r="D33" s="9"/>
      <c r="T33" s="17"/>
      <c r="U33" s="17"/>
    </row>
    <row r="34" spans="1:21">
      <c r="A34" s="1"/>
      <c r="C34" s="10"/>
      <c r="D34" s="9"/>
      <c r="T34" s="17"/>
      <c r="U34" s="17"/>
    </row>
    <row r="35" spans="1:21">
      <c r="A35" s="1"/>
      <c r="T35" s="17"/>
      <c r="U35" s="17"/>
    </row>
    <row r="36" spans="1:21">
      <c r="A36" s="1"/>
      <c r="T36" s="17"/>
      <c r="U36" s="17"/>
    </row>
    <row r="37" spans="1:21">
      <c r="A37" s="1"/>
      <c r="T37" s="17"/>
      <c r="U37" s="17"/>
    </row>
    <row r="38" spans="1:21">
      <c r="A38" s="1"/>
      <c r="T38" s="17"/>
      <c r="U38" s="17"/>
    </row>
    <row r="39" spans="1:21" ht="15.75" customHeight="1">
      <c r="A39" s="1"/>
      <c r="T39" s="17"/>
      <c r="U39" s="17"/>
    </row>
    <row r="40" spans="1:21">
      <c r="A40" s="1"/>
      <c r="T40" s="17"/>
      <c r="U40" s="17"/>
    </row>
    <row r="41" spans="1:21">
      <c r="A41" s="1"/>
      <c r="T41" s="17"/>
      <c r="U41" s="17"/>
    </row>
    <row r="42" spans="1:21">
      <c r="A42" s="1"/>
      <c r="T42" s="17"/>
      <c r="U42" s="17"/>
    </row>
    <row r="43" spans="1:21">
      <c r="A43" s="1"/>
      <c r="T43" s="17"/>
      <c r="U43" s="17"/>
    </row>
    <row r="44" spans="1:21">
      <c r="A44" s="1"/>
      <c r="T44" s="17"/>
      <c r="U44" s="17"/>
    </row>
    <row r="45" spans="1:21">
      <c r="H45" s="11"/>
      <c r="S45" s="14"/>
    </row>
    <row r="46" spans="1:21">
      <c r="H46" s="11"/>
      <c r="S46" s="14"/>
    </row>
  </sheetData>
  <mergeCells count="16">
    <mergeCell ref="S25:S26"/>
    <mergeCell ref="A1:T1"/>
    <mergeCell ref="L30:O30"/>
    <mergeCell ref="L31:O31"/>
    <mergeCell ref="B3:B7"/>
    <mergeCell ref="B9:B10"/>
    <mergeCell ref="B11:B17"/>
    <mergeCell ref="B19:B22"/>
    <mergeCell ref="B23:B24"/>
    <mergeCell ref="B25:B29"/>
    <mergeCell ref="N25:N26"/>
    <mergeCell ref="O25:O26"/>
    <mergeCell ref="P25:P26"/>
    <mergeCell ref="Q25:Q26"/>
    <mergeCell ref="R25:R26"/>
    <mergeCell ref="K25:K26"/>
  </mergeCells>
  <conditionalFormatting sqref="S24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L2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8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{8AE3E078-20BF-4FAB-B4D9-9A19E57EB3A1}</x14:id>
        </ext>
      </extLst>
    </cfRule>
  </conditionalFormatting>
  <conditionalFormatting sqref="L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{73C16A20-6CA5-41F8-8719-298C2C627FBF}</x14:id>
        </ext>
      </extLst>
    </cfRule>
  </conditionalFormatting>
  <conditionalFormatting sqref="L3:L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N9:N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L17:M27 L8:L14 M3:M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8:M29 L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R3:R25 R27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N3" r:id="rId1"/>
    <hyperlink ref="N4" r:id="rId2"/>
    <hyperlink ref="N5" r:id="rId3"/>
    <hyperlink ref="N8" r:id="rId4"/>
    <hyperlink ref="N9" r:id="rId5"/>
    <hyperlink ref="N10" r:id="rId6"/>
    <hyperlink ref="N11" r:id="rId7"/>
    <hyperlink ref="N13" r:id="rId8"/>
    <hyperlink ref="N12" r:id="rId9"/>
    <hyperlink ref="N14" r:id="rId10"/>
    <hyperlink ref="N17" r:id="rId11"/>
    <hyperlink ref="N18" r:id="rId12"/>
    <hyperlink ref="N20" r:id="rId13"/>
    <hyperlink ref="N6" r:id="rId14"/>
    <hyperlink ref="N7" r:id="rId15"/>
    <hyperlink ref="N21" r:id="rId16"/>
    <hyperlink ref="N25" r:id="rId17"/>
    <hyperlink ref="N22" r:id="rId18"/>
    <hyperlink ref="N15" r:id="rId19"/>
    <hyperlink ref="N16" r:id="rId20"/>
    <hyperlink ref="N27" r:id="rId21"/>
  </hyperlinks>
  <pageMargins left="0.75" right="0.75" top="1" bottom="1" header="0.5" footer="0.5"/>
  <pageSetup orientation="portrait"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S24</xm:sqref>
        </x14:conditionalFormatting>
        <x14:conditionalFormatting xmlns:xm="http://schemas.microsoft.com/office/excel/2006/main">
          <x14:cfRule type="dataBar" id="{8AE3E078-20BF-4FAB-B4D9-9A19E57EB3A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S28</xm:sqref>
        </x14:conditionalFormatting>
        <x14:conditionalFormatting xmlns:xm="http://schemas.microsoft.com/office/excel/2006/main">
          <x14:cfRule type="dataBar" id="{73C16A20-6CA5-41F8-8719-298C2C627FB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S29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N9:N10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R31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R3:R25 R27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2021-10-16T12:34:00Z</dcterms:created>
  <dcterms:modified xsi:type="dcterms:W3CDTF">2021-11-16T07:42:55Z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