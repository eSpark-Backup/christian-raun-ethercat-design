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ChristianRaun-EthercatDesign\Deliverables\Control_Board\BOM\"/>
    </mc:Choice>
  </mc:AlternateContent>
  <xr:revisionPtr revIDLastSave="0" documentId="13_ncr:1_{D3DEE847-1B02-4659-B3C6-F108D04562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1" i="1" l="1"/>
  <c r="Q12" i="1"/>
  <c r="Q13" i="1"/>
  <c r="Q14" i="1"/>
  <c r="Q15" i="1"/>
  <c r="Q17" i="1"/>
  <c r="Q18" i="1"/>
  <c r="Q19" i="1"/>
  <c r="Q20" i="1"/>
  <c r="Q22" i="1"/>
  <c r="Q23" i="1"/>
  <c r="Q24" i="1"/>
  <c r="Q25" i="1"/>
  <c r="Q26" i="1"/>
  <c r="Q27" i="1"/>
  <c r="Q28" i="1"/>
  <c r="Q30" i="1"/>
  <c r="Q31" i="1"/>
  <c r="Q32" i="1"/>
  <c r="Q33" i="1"/>
  <c r="Q34" i="1"/>
  <c r="Q35" i="1"/>
  <c r="Q36" i="1"/>
  <c r="Q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10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Q37" i="1" l="1"/>
  <c r="Q39" i="1" s="1"/>
</calcChain>
</file>

<file path=xl/sharedStrings.xml><?xml version="1.0" encoding="utf-8"?>
<sst xmlns="http://schemas.openxmlformats.org/spreadsheetml/2006/main" count="285" uniqueCount="186">
  <si>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</si>
  <si>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</si>
  <si>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</si>
  <si>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</si>
  <si>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</si>
  <si>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</si>
  <si>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</si>
  <si>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[Control_Board.PrjPcb] (No PCB Document Selected)</t>
  </si>
  <si>
    <t>Control_Board.PrjPcb</t>
  </si>
  <si>
    <t>None</t>
  </si>
  <si>
    <t>Designator</t>
  </si>
  <si>
    <t>C1, C3, C5, C26</t>
  </si>
  <si>
    <t>C2, C4, C6, C7, C8, C9, C10, C11, C12, C13, C14, C15, C16, C20, C21, C22, C23, C24, C25, C30, C31, C34, C35, C41</t>
  </si>
  <si>
    <t>C17</t>
  </si>
  <si>
    <t>C18, C19, C29</t>
  </si>
  <si>
    <t>C27, C28, C32, C33</t>
  </si>
  <si>
    <t>J1</t>
  </si>
  <si>
    <t>J2</t>
  </si>
  <si>
    <t>J3</t>
  </si>
  <si>
    <t>L1, L2, L3, L4, L5</t>
  </si>
  <si>
    <t>L6</t>
  </si>
  <si>
    <t>LED1, LED2, LED3</t>
  </si>
  <si>
    <t>P1, P5, P6</t>
  </si>
  <si>
    <t>R1, R2, R3, R4, R5, R9, R14, R15, R16, R23, R41, R42</t>
  </si>
  <si>
    <t>R6, R11, R12</t>
  </si>
  <si>
    <t>R7</t>
  </si>
  <si>
    <t>R8, R17, R40</t>
  </si>
  <si>
    <t>R13</t>
  </si>
  <si>
    <t>R18, R19</t>
  </si>
  <si>
    <t>R20</t>
  </si>
  <si>
    <t>SB1, SB4, SB5, SB6, SB7</t>
  </si>
  <si>
    <t>SW1</t>
  </si>
  <si>
    <t>U1</t>
  </si>
  <si>
    <t>U2</t>
  </si>
  <si>
    <t>U3</t>
  </si>
  <si>
    <t>U4</t>
  </si>
  <si>
    <t>X1</t>
  </si>
  <si>
    <t>X2</t>
  </si>
  <si>
    <t>Description</t>
  </si>
  <si>
    <t>CAP CER 1UF 100V X7S 0805</t>
  </si>
  <si>
    <t>CAP CER 0.1UF 100V X7R 0603</t>
  </si>
  <si>
    <t>CAP CER 10UF 50V X5R 0805</t>
  </si>
  <si>
    <t>CAP CER 4.7UF 25V X5R 0603</t>
  </si>
  <si>
    <t>CAP CER 10PF 50V C0G/NP0 0603</t>
  </si>
  <si>
    <t>5 POS 2.54mm Pin Header Male single row Right Angle SMD</t>
  </si>
  <si>
    <t>6 POS 2.54mm Pin Header Male single row Right Angle SMD</t>
  </si>
  <si>
    <t>200Ω @ 100MHz 1 1A 300mΩ 0603 Ferrite Beads</t>
  </si>
  <si>
    <t>IND SMD 10uH 500mA 0805</t>
  </si>
  <si>
    <t>Green 520~535nm 0402 Light Emitting Diodes (LED) RoHS</t>
  </si>
  <si>
    <t>Test Point ON</t>
  </si>
  <si>
    <t>RES SMD 10K OHM 5% 1/10W 0603</t>
  </si>
  <si>
    <t>RES SMD 0603 33 Ohm 1% 1/10W</t>
  </si>
  <si>
    <t>RES  SMD 330R 100 mW 0603</t>
  </si>
  <si>
    <t>RES SMD 1K OHM 1% 1/10W 0603</t>
  </si>
  <si>
    <t>RES SMD 12.1K OHM 1/10W 0603</t>
  </si>
  <si>
    <t>RES SMD 100 OHM 1% 1/10W 0603</t>
  </si>
  <si>
    <t>RES SMD 470 OHM 1% 1/10W 0603</t>
  </si>
  <si>
    <t>Solder Bridge ON</t>
  </si>
  <si>
    <t>SWITCH TACTILE SPST-NO 0.05A 12V</t>
  </si>
  <si>
    <t>IC ETHERCAT SLAVE CONTROLLER</t>
  </si>
  <si>
    <t>IC EEPROM 256KBIT I2C 1MHZ 8SOIC</t>
  </si>
  <si>
    <t>IC TRNSLTR BIDIRECTIONAL US8</t>
  </si>
  <si>
    <t>MAGNETIC ANGLE SENSOR</t>
  </si>
  <si>
    <t>CRYSTAL 25.0000MHZ 8PF SMD</t>
  </si>
  <si>
    <t>Crystal 32.768KHZ 6.0PF SMD</t>
  </si>
  <si>
    <t>Footprint</t>
  </si>
  <si>
    <t>Cap0805</t>
  </si>
  <si>
    <t>Cap0603</t>
  </si>
  <si>
    <t>HDR1X5 SMD</t>
  </si>
  <si>
    <t>HDR1X6 SMD</t>
  </si>
  <si>
    <t>MLB1608-201P1A(f)</t>
  </si>
  <si>
    <t>Ind0805</t>
  </si>
  <si>
    <t>LED 0402</t>
  </si>
  <si>
    <t>Res0603</t>
  </si>
  <si>
    <t>B3U-1000P</t>
  </si>
  <si>
    <t>CAT24C256WI-GT3</t>
  </si>
  <si>
    <t>TXB0102DCUT</t>
  </si>
  <si>
    <t>C3E-25.000-8-1015-X-M</t>
  </si>
  <si>
    <t>CM8V-T1A-32.768KHZ-6PF-20PPM-TA-QC</t>
  </si>
  <si>
    <t>Manufacturer Part Number</t>
  </si>
  <si>
    <t>GCM21BC72A105KE36L</t>
  </si>
  <si>
    <t>CC0603KRX7R0BB104</t>
  </si>
  <si>
    <t>GRM21BR61H106ME43L</t>
  </si>
  <si>
    <t>C1608X5R1E475M080AC</t>
  </si>
  <si>
    <t>06035A100JAT2A/4K</t>
  </si>
  <si>
    <t>AC0603JR-0710KL</t>
  </si>
  <si>
    <t>RC0603FR-0733RL</t>
  </si>
  <si>
    <t>RC0603JR-07330RL</t>
  </si>
  <si>
    <t>RC0603FR-071KL</t>
  </si>
  <si>
    <t>RT0603CRD0712K1L</t>
  </si>
  <si>
    <t>RC0603FR-07100RL</t>
  </si>
  <si>
    <t>RC0603FR-07470RL</t>
  </si>
  <si>
    <t>LAN9255-I/ZMX019</t>
  </si>
  <si>
    <t>TLE5012BE5000</t>
  </si>
  <si>
    <t>Manufacturer</t>
  </si>
  <si>
    <t>Murata</t>
  </si>
  <si>
    <t>Yageo</t>
  </si>
  <si>
    <t>TDK</t>
  </si>
  <si>
    <t>Kyocera AVX</t>
  </si>
  <si>
    <t>RTLECS</t>
  </si>
  <si>
    <t>Amphenol ICC (FCI)</t>
  </si>
  <si>
    <t>Meled</t>
  </si>
  <si>
    <t>microgate</t>
  </si>
  <si>
    <t>Everlight Elec</t>
  </si>
  <si>
    <t>Omron</t>
  </si>
  <si>
    <t>Microchip</t>
  </si>
  <si>
    <t>ON Semiconductor</t>
  </si>
  <si>
    <t>Texas Instruments</t>
  </si>
  <si>
    <t>Infineon</t>
  </si>
  <si>
    <t>Aker Technology USA</t>
  </si>
  <si>
    <t>Micro Crystal</t>
  </si>
  <si>
    <t>Comment</t>
  </si>
  <si>
    <t>1uF</t>
  </si>
  <si>
    <t>0.1uF</t>
  </si>
  <si>
    <t>10uF</t>
  </si>
  <si>
    <t>4.7uF</t>
  </si>
  <si>
    <t>10pF</t>
  </si>
  <si>
    <t>PH254P1x12SMRA-100</t>
  </si>
  <si>
    <t>Test Point</t>
  </si>
  <si>
    <t>10K</t>
  </si>
  <si>
    <t>33R</t>
  </si>
  <si>
    <t>330R</t>
  </si>
  <si>
    <t>1K</t>
  </si>
  <si>
    <t>12.1K</t>
  </si>
  <si>
    <t>100R</t>
  </si>
  <si>
    <t>470R</t>
  </si>
  <si>
    <t>Quantity</t>
  </si>
  <si>
    <t>Alternate Part Number</t>
  </si>
  <si>
    <t>Quantity/(500 Boards)</t>
  </si>
  <si>
    <t>LCSC/MOQ/(500 Boards)</t>
  </si>
  <si>
    <t>Links</t>
  </si>
  <si>
    <t>Unit Cost/(500 Boards)</t>
  </si>
  <si>
    <t>Total Cost/(500 Boards)</t>
  </si>
  <si>
    <t>Remarks</t>
  </si>
  <si>
    <t>Reviewer Remarks</t>
  </si>
  <si>
    <t>LCSC/Part Number</t>
  </si>
  <si>
    <t>LCSC</t>
  </si>
  <si>
    <t>----------</t>
  </si>
  <si>
    <t>C113803</t>
  </si>
  <si>
    <t>FN18N100J500PSG</t>
  </si>
  <si>
    <t>C525235</t>
  </si>
  <si>
    <t>C69335</t>
  </si>
  <si>
    <t>C126585</t>
  </si>
  <si>
    <t>C440198</t>
  </si>
  <si>
    <t>C140867</t>
  </si>
  <si>
    <t>C108661</t>
  </si>
  <si>
    <t>C105879</t>
  </si>
  <si>
    <t>C22548</t>
  </si>
  <si>
    <t>C705893</t>
  </si>
  <si>
    <t>C105588</t>
  </si>
  <si>
    <t>Item Type</t>
  </si>
  <si>
    <t>Capacitor</t>
  </si>
  <si>
    <t>Connector</t>
  </si>
  <si>
    <t>Inductor</t>
  </si>
  <si>
    <t>LED</t>
  </si>
  <si>
    <t>Resistor</t>
  </si>
  <si>
    <t>IC</t>
  </si>
  <si>
    <t>Switch</t>
  </si>
  <si>
    <t>Crystal</t>
  </si>
  <si>
    <t xml:space="preserve">Solder Bridge </t>
  </si>
  <si>
    <t>Ind0603</t>
  </si>
  <si>
    <t>C45316</t>
  </si>
  <si>
    <t>------</t>
  </si>
  <si>
    <t xml:space="preserve">MGFL2012F100MT-LF
</t>
  </si>
  <si>
    <t>C281113</t>
  </si>
  <si>
    <t xml:space="preserve">16-213/GHC-YR1S1/3T
</t>
  </si>
  <si>
    <t>C74338</t>
  </si>
  <si>
    <t>DO NOT MOUNT</t>
  </si>
  <si>
    <t>Custom</t>
  </si>
  <si>
    <t>C231329</t>
  </si>
  <si>
    <t xml:space="preserve">
SOIC-8</t>
  </si>
  <si>
    <t>C79987</t>
  </si>
  <si>
    <t xml:space="preserve">
VSSOP-8</t>
  </si>
  <si>
    <t>C2677366</t>
  </si>
  <si>
    <t>C114669</t>
  </si>
  <si>
    <t>Aliexpress</t>
  </si>
  <si>
    <t>CONN MALE HEADER SMD 26POS 2.54MM, DUAL ROW (13 x 2)</t>
  </si>
  <si>
    <t>Header 2x13</t>
  </si>
  <si>
    <t xml:space="preserve">95278-101A26LF
</t>
  </si>
  <si>
    <t>Need Quote from Custom Supplier</t>
  </si>
  <si>
    <t xml:space="preserve">Total Component Cost </t>
  </si>
  <si>
    <t>Aliexpress Shipping Cost</t>
  </si>
  <si>
    <t>Single Board Cost</t>
  </si>
  <si>
    <t>--------</t>
  </si>
  <si>
    <t>---------</t>
  </si>
  <si>
    <t xml:space="preserve">1x40 pins Header 5 PCS per 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</si>
</sst>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8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z val="10"/>
      <color rgb="FF000000"/>
      <name val="Calibri"/>
      <family val="2"/>
    </font>
    <font>
      <u/>
      <sz val="10"/>
      <color theme="10"/>
      <name val="Calibri"/>
      <family val="2"/>
    </font>
    <font>
      <u/>
      <sz val="10"/>
      <color rgb="FF0000FF"/>
      <name val="Calibri"/>
      <family val="2"/>
    </font>
    <font>
      <b/>
      <sz val="9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31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 applyBorder="1" applyAlignment="1"/>
    <xf numFmtId="0" fontId="9" fillId="3" borderId="5" xfId="0" applyFont="1" applyFill="1" applyBorder="1" applyAlignment="1"/>
    <xf numFmtId="0" fontId="9" fillId="3" borderId="6" xfId="0" applyFont="1" applyFill="1" applyBorder="1" applyAlignment="1"/>
    <xf numFmtId="0" fontId="10" fillId="3" borderId="0" xfId="0" applyFont="1" applyFill="1" applyBorder="1" applyAlignment="1"/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2" fillId="3" borderId="3" xfId="0" applyNumberFormat="1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 applyBorder="1" applyAlignment="1"/>
    <xf numFmtId="0" fontId="13" fillId="3" borderId="6" xfId="0" applyFont="1" applyFill="1" applyBorder="1" applyAlignment="1"/>
    <xf numFmtId="0" fontId="13" fillId="3" borderId="5" xfId="0" applyFont="1" applyFill="1" applyBorder="1" applyAlignment="1"/>
    <xf numFmtId="0" fontId="11" fillId="3" borderId="5" xfId="0" applyFont="1" applyFill="1" applyBorder="1" applyAlignment="1"/>
    <xf numFmtId="0" fontId="13" fillId="3" borderId="5" xfId="0" applyFont="1" applyFill="1" applyBorder="1" applyAlignment="1">
      <alignment horizontal="left"/>
    </xf>
    <xf numFmtId="0" fontId="16" fillId="3" borderId="0" xfId="0" applyFont="1" applyFill="1" applyBorder="1" applyAlignment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 applyBorder="1" applyAlignment="1"/>
    <xf numFmtId="164" fontId="13" fillId="3" borderId="0" xfId="0" applyNumberFormat="1" applyFont="1" applyFill="1" applyBorder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NumberFormat="1" applyFont="1" applyFill="1" applyBorder="1" applyAlignment="1" applyProtection="1">
      <alignment horizontal="center" vertical="center"/>
      <protection locked="0"/>
    </xf>
    <xf numFmtId="0" fontId="11" fillId="3" borderId="11" xfId="0" applyNumberFormat="1" applyFont="1" applyFill="1" applyBorder="1" applyAlignment="1" applyProtection="1">
      <alignment vertical="center"/>
      <protection locked="0"/>
    </xf>
    <xf numFmtId="0" fontId="12" fillId="3" borderId="11" xfId="0" applyNumberFormat="1" applyFont="1" applyFill="1" applyBorder="1" applyAlignment="1" applyProtection="1">
      <alignment horizontal="left" vertical="center"/>
      <protection locked="0"/>
    </xf>
    <xf numFmtId="0" fontId="0" fillId="3" borderId="11" xfId="0" applyFont="1" applyFill="1" applyBorder="1" applyAlignment="1">
      <alignment vertical="center"/>
    </xf>
    <xf numFmtId="0" fontId="0" fillId="3" borderId="11" xfId="0" applyFont="1" applyFill="1" applyBorder="1"/>
    <xf numFmtId="0" fontId="11" fillId="5" borderId="15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Border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9" fillId="0" borderId="19" xfId="0" applyFont="1" applyBorder="1" applyAlignment="1">
      <alignment horizontal="center"/>
    </xf>
    <xf numFmtId="0" fontId="18" fillId="4" borderId="18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19" fillId="4" borderId="20" xfId="0" applyFont="1" applyFill="1" applyBorder="1" applyAlignment="1">
      <alignment horizontal="center"/>
    </xf>
    <xf numFmtId="0" fontId="19" fillId="2" borderId="20" xfId="0" applyFont="1" applyFill="1" applyBorder="1" applyAlignment="1">
      <alignment horizontal="center"/>
    </xf>
    <xf numFmtId="0" fontId="19" fillId="0" borderId="20" xfId="0" applyFont="1" applyBorder="1" applyAlignment="1">
      <alignment horizontal="center"/>
    </xf>
    <xf numFmtId="165" fontId="21" fillId="4" borderId="18" xfId="1" applyNumberFormat="1" applyFont="1" applyFill="1" applyBorder="1" applyAlignment="1">
      <alignment horizontal="center" vertical="center"/>
    </xf>
    <xf numFmtId="165" fontId="18" fillId="2" borderId="17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8" fillId="4" borderId="18" xfId="0" quotePrefix="1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18" fillId="2" borderId="17" xfId="0" quotePrefix="1" applyFont="1" applyFill="1" applyBorder="1" applyAlignment="1">
      <alignment horizontal="center" vertical="center" wrapText="1"/>
    </xf>
    <xf numFmtId="0" fontId="20" fillId="2" borderId="17" xfId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4" borderId="24" xfId="0" applyFont="1" applyFill="1" applyBorder="1" applyAlignment="1">
      <alignment horizontal="center" vertical="center" wrapText="1"/>
    </xf>
    <xf numFmtId="165" fontId="18" fillId="2" borderId="19" xfId="0" applyNumberFormat="1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11" fillId="3" borderId="11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NumberFormat="1" applyFont="1" applyFill="1" applyBorder="1" applyAlignment="1" applyProtection="1">
      <alignment horizontal="center" vertical="top"/>
      <protection locked="0"/>
    </xf>
    <xf numFmtId="0" fontId="15" fillId="5" borderId="16" xfId="0" applyFont="1" applyFill="1" applyBorder="1" applyAlignment="1">
      <alignment horizontal="center" vertical="center" wrapText="1"/>
    </xf>
    <xf numFmtId="0" fontId="15" fillId="5" borderId="26" xfId="0" applyFont="1" applyFill="1" applyBorder="1" applyAlignment="1">
      <alignment horizontal="center" vertical="center" wrapText="1"/>
    </xf>
    <xf numFmtId="0" fontId="15" fillId="5" borderId="27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0" fontId="15" fillId="5" borderId="26" xfId="0" applyFont="1" applyFill="1" applyBorder="1" applyAlignment="1">
      <alignment horizontal="center" vertical="center" wrapText="1"/>
    </xf>
    <xf numFmtId="0" fontId="18" fillId="4" borderId="6" xfId="0" quotePrefix="1" applyFont="1" applyFill="1" applyBorder="1" applyAlignment="1">
      <alignment horizontal="center" vertical="center" wrapText="1"/>
    </xf>
    <xf numFmtId="0" fontId="18" fillId="4" borderId="25" xfId="0" quotePrefix="1" applyFont="1" applyFill="1" applyBorder="1" applyAlignment="1">
      <alignment horizontal="center" vertical="center" wrapText="1"/>
    </xf>
    <xf numFmtId="165" fontId="18" fillId="4" borderId="20" xfId="0" applyNumberFormat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26" fillId="4" borderId="20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/>
    </xf>
    <xf numFmtId="0" fontId="18" fillId="4" borderId="18" xfId="0" applyFont="1" applyFill="1" applyBorder="1" applyAlignment="1">
      <alignment horizontal="center" vertical="center"/>
    </xf>
    <xf numFmtId="0" fontId="20" fillId="4" borderId="18" xfId="1" applyFill="1" applyBorder="1" applyAlignment="1">
      <alignment horizontal="center" vertical="center" wrapText="1"/>
    </xf>
    <xf numFmtId="165" fontId="20" fillId="4" borderId="18" xfId="1" applyNumberFormat="1" applyFill="1" applyBorder="1" applyAlignment="1">
      <alignment horizontal="center" vertical="center"/>
    </xf>
    <xf numFmtId="0" fontId="26" fillId="2" borderId="20" xfId="0" applyFont="1" applyFill="1" applyBorder="1" applyAlignment="1">
      <alignment horizontal="center" vertical="center" wrapText="1"/>
    </xf>
    <xf numFmtId="0" fontId="27" fillId="3" borderId="28" xfId="0" applyFont="1" applyFill="1" applyBorder="1" applyAlignment="1" applyProtection="1">
      <alignment horizontal="center" vertical="top"/>
      <protection locked="0"/>
    </xf>
    <xf numFmtId="0" fontId="27" fillId="3" borderId="12" xfId="0" applyFont="1" applyFill="1" applyBorder="1" applyAlignment="1" applyProtection="1">
      <alignment horizontal="center" vertical="top"/>
      <protection locked="0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0" fontId="27" fillId="3" borderId="13" xfId="0" applyFont="1" applyFill="1" applyBorder="1" applyAlignment="1" applyProtection="1">
      <alignment horizontal="center" vertical="top"/>
      <protection locked="0"/>
    </xf>
    <xf numFmtId="166" fontId="15" fillId="3" borderId="27" xfId="0" quotePrefix="1" applyNumberFormat="1" applyFont="1" applyFill="1" applyBorder="1" applyAlignment="1">
      <alignment horizontal="center" vertical="center" wrapText="1"/>
    </xf>
    <xf numFmtId="166" fontId="15" fillId="3" borderId="27" xfId="0" applyNumberFormat="1" applyFont="1" applyFill="1" applyBorder="1" applyAlignment="1">
      <alignment horizontal="center" vertical="center"/>
    </xf>
    <xf numFmtId="0" fontId="18" fillId="2" borderId="5" xfId="0" quotePrefix="1" applyFont="1" applyFill="1" applyBorder="1" applyAlignment="1">
      <alignment horizontal="center" vertical="center" wrapText="1"/>
    </xf>
    <xf numFmtId="165" fontId="18" fillId="4" borderId="25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7" fillId="5" borderId="28" xfId="0" applyFont="1" applyFill="1" applyBorder="1" applyAlignment="1">
      <alignment horizontal="center" vertical="center"/>
    </xf>
    <xf numFmtId="0" fontId="18" fillId="4" borderId="24" xfId="0" quotePrefix="1" applyFont="1" applyFill="1" applyBorder="1" applyAlignment="1">
      <alignment horizontal="center" vertical="center" wrapText="1"/>
    </xf>
    <xf numFmtId="0" fontId="18" fillId="4" borderId="20" xfId="0" quotePrefix="1" applyFont="1" applyFill="1" applyBorder="1" applyAlignment="1">
      <alignment horizontal="center" vertical="center" wrapText="1"/>
    </xf>
    <xf numFmtId="0" fontId="18" fillId="2" borderId="19" xfId="0" quotePrefix="1" applyFont="1" applyFill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center" vertical="center"/>
    </xf>
    <xf numFmtId="0" fontId="23" fillId="4" borderId="18" xfId="0" applyFont="1" applyFill="1" applyBorder="1" applyAlignment="1">
      <alignment horizontal="center" vertical="center"/>
    </xf>
    <xf numFmtId="0" fontId="23" fillId="2" borderId="25" xfId="0" applyFont="1" applyFill="1" applyBorder="1" applyAlignment="1">
      <alignment horizontal="center" vertical="center"/>
    </xf>
    <xf numFmtId="0" fontId="18" fillId="2" borderId="27" xfId="0" applyFont="1" applyFill="1" applyBorder="1" applyAlignment="1">
      <alignment horizontal="center" vertical="center" wrapText="1"/>
    </xf>
    <xf numFmtId="0" fontId="18" fillId="4" borderId="29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165" fontId="18" fillId="4" borderId="21" xfId="0" applyNumberFormat="1" applyFont="1" applyFill="1" applyBorder="1" applyAlignment="1">
      <alignment horizontal="center" vertical="center" wrapText="1"/>
    </xf>
    <xf numFmtId="165" fontId="18" fillId="4" borderId="19" xfId="0" applyNumberFormat="1" applyFont="1" applyFill="1" applyBorder="1" applyAlignment="1">
      <alignment horizontal="center" vertical="center" wrapText="1"/>
    </xf>
    <xf numFmtId="0" fontId="21" fillId="2" borderId="25" xfId="1" applyFont="1" applyFill="1" applyBorder="1" applyAlignment="1">
      <alignment horizontal="center" vertical="center"/>
    </xf>
    <xf numFmtId="0" fontId="24" fillId="2" borderId="25" xfId="1" quotePrefix="1" applyFont="1" applyFill="1" applyBorder="1" applyAlignment="1">
      <alignment horizontal="center" vertical="center"/>
    </xf>
    <xf numFmtId="0" fontId="24" fillId="2" borderId="17" xfId="1" quotePrefix="1" applyFont="1" applyFill="1" applyBorder="1" applyAlignment="1">
      <alignment horizontal="center" vertical="center"/>
    </xf>
    <xf numFmtId="165" fontId="24" fillId="0" borderId="18" xfId="1" applyNumberFormat="1" applyFont="1" applyBorder="1" applyAlignment="1">
      <alignment horizontal="center" vertical="center"/>
    </xf>
    <xf numFmtId="165" fontId="24" fillId="4" borderId="18" xfId="1" applyNumberFormat="1" applyFont="1" applyFill="1" applyBorder="1" applyAlignment="1">
      <alignment horizontal="center" vertical="center"/>
    </xf>
    <xf numFmtId="0" fontId="24" fillId="0" borderId="26" xfId="1" quotePrefix="1" applyFont="1" applyBorder="1" applyAlignment="1">
      <alignment horizontal="center" vertical="center"/>
    </xf>
    <xf numFmtId="0" fontId="24" fillId="0" borderId="18" xfId="1" quotePrefix="1" applyFont="1" applyBorder="1" applyAlignment="1">
      <alignment horizontal="center" vertical="center"/>
    </xf>
    <xf numFmtId="0" fontId="24" fillId="4" borderId="18" xfId="1" quotePrefix="1" applyFont="1" applyFill="1" applyBorder="1" applyAlignment="1">
      <alignment horizontal="center" vertical="center"/>
    </xf>
    <xf numFmtId="0" fontId="24" fillId="2" borderId="18" xfId="1" quotePrefix="1" applyFont="1" applyFill="1" applyBorder="1" applyAlignment="1">
      <alignment horizontal="center" vertical="center"/>
    </xf>
    <xf numFmtId="0" fontId="25" fillId="4" borderId="18" xfId="1" applyFont="1" applyFill="1" applyBorder="1" applyAlignment="1">
      <alignment horizontal="center" vertical="center"/>
    </xf>
    <xf numFmtId="0" fontId="25" fillId="0" borderId="18" xfId="1" applyFont="1" applyBorder="1" applyAlignment="1">
      <alignment horizontal="center" vertical="center"/>
    </xf>
    <xf numFmtId="0" fontId="18" fillId="4" borderId="21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165" fontId="18" fillId="2" borderId="27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413075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hip-Resistor-Surface-Mount_YAGEO-RC0603FR-0733RL_C108661.html" TargetMode="External"/><Relationship Id="rId13" Type="http://schemas.openxmlformats.org/officeDocument/2006/relationships/hyperlink" Target="https://www.lcsc.com/product-detail/Inductors-SMD_microgate-MGFL2012F100MT-LF_C281113.html" TargetMode="External"/><Relationship Id="rId18" Type="http://schemas.openxmlformats.org/officeDocument/2006/relationships/hyperlink" Target="https://lcsc.com/product-detail/Chip-Resistor-Surface-Mount_YAGEO-RC0603FR-07470RL_C114669.html" TargetMode="External"/><Relationship Id="rId3" Type="http://schemas.openxmlformats.org/officeDocument/2006/relationships/hyperlink" Target="https://lcsc.com/product-detail/Multilayer-Ceramic-Capacitors-MLCC-SMD-SMT_Samsung-Electro-Mechanics-CL10A475KA8NQNC_C69335.html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lcsc.com/product-detail/Chip-Resistor-Surface-Mount_YAGEO-RC0603JR-07330RL_C105879.html" TargetMode="External"/><Relationship Id="rId12" Type="http://schemas.openxmlformats.org/officeDocument/2006/relationships/hyperlink" Target="https://www.lcsc.com/product-detail/Ferrite-Beads_Meled-MLB1608-201P1A-f_C45316.html" TargetMode="External"/><Relationship Id="rId17" Type="http://schemas.openxmlformats.org/officeDocument/2006/relationships/hyperlink" Target="https://www.lcsc.com/product-detail/Translators-Level-Shifters_Texas-Instruments-TXB0102DCUT_C2677366.html" TargetMode="External"/><Relationship Id="rId2" Type="http://schemas.openxmlformats.org/officeDocument/2006/relationships/hyperlink" Target="https://lcsc.com/product-detail/Multilayer-Ceramic-Capacitors-MLCC-SMD-SMT_PSA-Prosperity-Dielectrics-FN18N100J500PSG_C525235.html" TargetMode="External"/><Relationship Id="rId16" Type="http://schemas.openxmlformats.org/officeDocument/2006/relationships/hyperlink" Target="https://www.lcsc.com/product-detail/EEPROM_onsemi-CAT24C256WI-GT3_C79987.html" TargetMode="External"/><Relationship Id="rId20" Type="http://schemas.openxmlformats.org/officeDocument/2006/relationships/hyperlink" Target="https://www.aliexpress.com/item/32739653845.html?spm=a2g0o.productlist.0.0.1bf27ca0Ywtkh1&amp;algo_pvid=e2db6953-b4be-474d-a782-ce8697907297&amp;algo_exp_id=e2db6953-b4be-474d-a782-ce8697907297-4&amp;pdp_ext_f=%7B%22sku_id%22%3A%2261529845100%22%7D" TargetMode="External"/><Relationship Id="rId1" Type="http://schemas.openxmlformats.org/officeDocument/2006/relationships/hyperlink" Target="https://lcsc.com/product-detail/Multilayer-Ceramic-Capacitors-MLCC-SMD-SMT_YAGEO-CC0603KRX7R0BB104_C113803.html" TargetMode="External"/><Relationship Id="rId6" Type="http://schemas.openxmlformats.org/officeDocument/2006/relationships/hyperlink" Target="https://www.lcsc.com/product-detail/Chip-Resistor-Surface-Mount_YAGEO-AC0603JR-0710KL_C140867.html" TargetMode="External"/><Relationship Id="rId11" Type="http://schemas.openxmlformats.org/officeDocument/2006/relationships/hyperlink" Target="https://lcsc.com/product-detail/Chip-Resistor-Surface-Mount_YAGEO-RC0603FR-07100RL_C105588.html" TargetMode="External"/><Relationship Id="rId5" Type="http://schemas.openxmlformats.org/officeDocument/2006/relationships/hyperlink" Target="https://lcsc.com/product-detail/Multilayer-Ceramic-Capacitors-MLCC-SMD-SMT_Murata-Electronics-GRM21BR61H106KE43L_C440198.html" TargetMode="External"/><Relationship Id="rId15" Type="http://schemas.openxmlformats.org/officeDocument/2006/relationships/hyperlink" Target="https://www.lcsc.com/product-detail/Tactile-Switches_Omron-Electronics-B3U-1000P_C231329.html" TargetMode="External"/><Relationship Id="rId10" Type="http://schemas.openxmlformats.org/officeDocument/2006/relationships/hyperlink" Target="https://www.lcsc.com/product-detail/Chip-Resistor-Surface-Mount_YAGEO-RT0603CRD0712K1L_C705893.html" TargetMode="External"/><Relationship Id="rId19" Type="http://schemas.openxmlformats.org/officeDocument/2006/relationships/hyperlink" Target="https://www.aliexpress.com/item/33056177154.html?spm=a2g0o.productlist.0.0.7e9f1d4aHgxJN9&amp;algo_pvid=736c5f1b-b8d2-45eb-8137-2c111555482b&amp;algo_exp_id=736c5f1b-b8d2-45eb-8137-2c111555482b-8&amp;pdp_ext_f=%7B%22sku_id%22%3A%2267476323099%22%7D&amp;pdp_npi=2%40dis%21USD%21%212.16%21%21%21%21%21%402132e4d516588443271164429ed8a4%2167476323099%21sea" TargetMode="External"/><Relationship Id="rId4" Type="http://schemas.openxmlformats.org/officeDocument/2006/relationships/hyperlink" Target="https://lcsc.com/product-detail/Multilayer-Ceramic-Capacitors-MLCC-SMD-SMT_Murata-Electronics-GCM21BC72A105KE36L_C126585.html" TargetMode="External"/><Relationship Id="rId9" Type="http://schemas.openxmlformats.org/officeDocument/2006/relationships/hyperlink" Target="https://www.lcsc.com/product-detail/Chip-Resistor-Surface-Mount_YAGEO-RC0603FR-071KL_C22548.html" TargetMode="External"/><Relationship Id="rId14" Type="http://schemas.openxmlformats.org/officeDocument/2006/relationships/hyperlink" Target="https://www.lcsc.com/product-detail/Light-Emitting-Diodes-LED_Everlight-Elec-16-213-GHC-YR1S1-3T_C74338.html" TargetMode="External"/><Relationship Id="rId2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9"/>
  <sheetViews>
    <sheetView tabSelected="1" topLeftCell="A11" workbookViewId="0">
      <selection activeCell="H25" sqref="H25"/>
    </sheetView>
  </sheetViews>
  <sheetFormatPr defaultRowHeight="15" x14ac:dyDescent="0.25"/>
  <cols>
    <col min="2" max="2" width="3.140625" style="26" customWidth="1"/>
    <col min="3" max="3" width="16.42578125" style="26" customWidth="1"/>
    <col min="4" max="4" width="36" bestFit="1" customWidth="1"/>
    <col min="5" max="5" width="26" customWidth="1"/>
    <col min="6" max="6" width="26.5703125" bestFit="1" customWidth="1"/>
    <col min="7" max="7" width="33.42578125" bestFit="1" customWidth="1"/>
    <col min="8" max="8" width="33.42578125" customWidth="1"/>
    <col min="9" max="9" width="21.42578125" bestFit="1" customWidth="1"/>
    <col min="10" max="10" width="21.42578125" customWidth="1"/>
    <col min="11" max="11" width="29.42578125" bestFit="1" customWidth="1"/>
    <col min="12" max="14" width="29.42578125" customWidth="1"/>
    <col min="15" max="15" width="13.42578125" bestFit="1" customWidth="1"/>
    <col min="16" max="16" width="25.85546875" bestFit="1" customWidth="1"/>
    <col min="17" max="17" width="25.85546875" customWidth="1"/>
    <col min="18" max="18" width="29.42578125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43"/>
      <c r="L1" s="43"/>
      <c r="M1" s="43"/>
      <c r="N1" s="43"/>
      <c r="O1" s="43"/>
      <c r="P1" s="43"/>
      <c r="Q1" s="43"/>
      <c r="R1" s="43"/>
      <c r="S1" s="44"/>
    </row>
    <row r="2" spans="1:19" ht="32.25" thickBot="1" x14ac:dyDescent="0.3">
      <c r="A2" s="1"/>
      <c r="B2" s="21"/>
      <c r="C2" s="72"/>
      <c r="D2" s="11" t="s">
        <v>0</v>
      </c>
      <c r="E2" s="11"/>
      <c r="F2" s="39" t="s">
        <v>7</v>
      </c>
      <c r="G2" s="12"/>
      <c r="H2" s="12"/>
      <c r="I2" s="4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73"/>
      <c r="D3" s="13" t="s">
        <v>1</v>
      </c>
      <c r="E3" s="13"/>
      <c r="F3" s="40" t="s">
        <v>8</v>
      </c>
      <c r="G3" s="13"/>
      <c r="H3" s="13"/>
      <c r="I3" s="5"/>
      <c r="J3" s="5"/>
      <c r="K3" s="5"/>
      <c r="L3" s="5"/>
      <c r="M3" s="5"/>
      <c r="N3" s="5"/>
      <c r="O3" s="5"/>
      <c r="P3" s="5"/>
      <c r="Q3" s="5"/>
      <c r="R3" s="5"/>
      <c r="S3" s="45"/>
    </row>
    <row r="4" spans="1:19" x14ac:dyDescent="0.25">
      <c r="A4" s="1"/>
      <c r="B4" s="22"/>
      <c r="C4" s="73"/>
      <c r="D4" s="13" t="s">
        <v>2</v>
      </c>
      <c r="E4" s="13"/>
      <c r="F4" s="41" t="s">
        <v>8</v>
      </c>
      <c r="G4" s="14"/>
      <c r="H4" s="14"/>
      <c r="I4" s="7"/>
      <c r="J4" s="7"/>
      <c r="K4" s="7"/>
      <c r="L4" s="6"/>
      <c r="M4" s="6"/>
      <c r="N4" s="6"/>
      <c r="O4" s="6"/>
      <c r="P4" s="6"/>
      <c r="Q4" s="6"/>
      <c r="R4" s="6"/>
      <c r="S4" s="46"/>
    </row>
    <row r="5" spans="1:19" x14ac:dyDescent="0.25">
      <c r="A5" s="1"/>
      <c r="B5" s="22"/>
      <c r="C5" s="73"/>
      <c r="D5" s="13" t="s">
        <v>3</v>
      </c>
      <c r="E5" s="13"/>
      <c r="F5" s="42" t="s">
        <v>9</v>
      </c>
      <c r="G5" s="15"/>
      <c r="H5" s="15"/>
      <c r="I5" s="6"/>
      <c r="J5" s="6"/>
      <c r="K5" s="6"/>
      <c r="L5" s="6"/>
      <c r="M5" s="6"/>
      <c r="N5" s="6"/>
      <c r="O5" s="6"/>
      <c r="P5" s="6"/>
      <c r="Q5" s="6"/>
      <c r="R5" s="6"/>
      <c r="S5" s="46"/>
    </row>
    <row r="6" spans="1:19" x14ac:dyDescent="0.25">
      <c r="A6" s="1"/>
      <c r="B6" s="23"/>
      <c r="C6" s="74"/>
      <c r="D6" s="16"/>
      <c r="E6" s="16"/>
      <c r="F6" s="17"/>
      <c r="G6" s="15"/>
      <c r="H6" s="15"/>
      <c r="I6" s="6"/>
      <c r="J6" s="6"/>
      <c r="K6" s="6"/>
      <c r="L6" s="6"/>
      <c r="M6" s="6"/>
      <c r="N6" s="6"/>
      <c r="O6" s="6"/>
      <c r="P6" s="6"/>
      <c r="Q6" s="6"/>
      <c r="R6" s="6"/>
      <c r="S6" s="46"/>
    </row>
    <row r="7" spans="1:19" x14ac:dyDescent="0.25">
      <c r="A7" s="1"/>
      <c r="B7" s="24"/>
      <c r="C7" s="75"/>
      <c r="D7" s="18"/>
      <c r="E7" s="18"/>
      <c r="F7" s="19"/>
      <c r="G7" s="18"/>
      <c r="H7" s="18"/>
      <c r="I7" s="8"/>
      <c r="J7" s="8"/>
      <c r="K7" s="8"/>
      <c r="L7" s="8"/>
      <c r="M7" s="8"/>
      <c r="N7" s="8"/>
      <c r="O7" s="8"/>
      <c r="P7" s="8"/>
      <c r="Q7" s="8"/>
      <c r="R7" s="8"/>
      <c r="S7" s="46"/>
    </row>
    <row r="8" spans="1:19" ht="15.75" thickBot="1" x14ac:dyDescent="0.3">
      <c r="A8" s="1"/>
      <c r="B8" s="27"/>
      <c r="C8" s="76"/>
      <c r="D8" s="28"/>
      <c r="E8" s="28"/>
      <c r="F8" s="29"/>
      <c r="G8" s="18"/>
      <c r="H8" s="18"/>
      <c r="I8" s="8"/>
      <c r="J8" s="8"/>
      <c r="K8" s="8"/>
      <c r="L8" s="8"/>
      <c r="M8" s="8"/>
      <c r="N8" s="8"/>
      <c r="O8" s="8"/>
      <c r="P8" s="8"/>
      <c r="Q8" s="8"/>
      <c r="R8" s="8"/>
      <c r="S8" s="46"/>
    </row>
    <row r="9" spans="1:19" ht="15.75" thickBot="1" x14ac:dyDescent="0.3">
      <c r="A9" s="1"/>
      <c r="B9" s="30" t="s">
        <v>4</v>
      </c>
      <c r="C9" s="30" t="s">
        <v>150</v>
      </c>
      <c r="D9" s="30" t="s">
        <v>10</v>
      </c>
      <c r="E9" s="31" t="s">
        <v>38</v>
      </c>
      <c r="F9" s="30" t="s">
        <v>65</v>
      </c>
      <c r="G9" s="31" t="s">
        <v>79</v>
      </c>
      <c r="H9" s="30" t="s">
        <v>127</v>
      </c>
      <c r="I9" s="105" t="s">
        <v>94</v>
      </c>
      <c r="J9" s="30" t="s">
        <v>135</v>
      </c>
      <c r="K9" s="32" t="s">
        <v>111</v>
      </c>
      <c r="L9" s="31" t="s">
        <v>126</v>
      </c>
      <c r="M9" s="30" t="s">
        <v>128</v>
      </c>
      <c r="N9" s="105" t="s">
        <v>129</v>
      </c>
      <c r="O9" s="30" t="s">
        <v>130</v>
      </c>
      <c r="P9" s="32" t="s">
        <v>131</v>
      </c>
      <c r="Q9" s="30" t="s">
        <v>132</v>
      </c>
      <c r="R9" s="32" t="s">
        <v>133</v>
      </c>
      <c r="S9" s="32" t="s">
        <v>134</v>
      </c>
    </row>
    <row r="10" spans="1:19" ht="15.75" thickBot="1" x14ac:dyDescent="0.3">
      <c r="A10" s="1"/>
      <c r="B10" s="38">
        <f>ROW(B10) - ROW($B$9)</f>
        <v>1</v>
      </c>
      <c r="C10" s="79" t="s">
        <v>151</v>
      </c>
      <c r="D10" s="51" t="s">
        <v>11</v>
      </c>
      <c r="E10" s="52" t="s">
        <v>39</v>
      </c>
      <c r="F10" s="51" t="s">
        <v>66</v>
      </c>
      <c r="G10" s="52" t="s">
        <v>80</v>
      </c>
      <c r="H10" s="67" t="s">
        <v>137</v>
      </c>
      <c r="I10" s="69" t="s">
        <v>95</v>
      </c>
      <c r="J10" s="51" t="s">
        <v>142</v>
      </c>
      <c r="K10" s="53" t="s">
        <v>112</v>
      </c>
      <c r="L10" s="52">
        <v>4</v>
      </c>
      <c r="M10" s="51">
        <f>L10*500</f>
        <v>2000</v>
      </c>
      <c r="N10" s="69">
        <v>2020</v>
      </c>
      <c r="O10" s="68" t="s">
        <v>136</v>
      </c>
      <c r="P10" s="71">
        <v>9.2799999999999994E-2</v>
      </c>
      <c r="Q10" s="63">
        <f>P10*N10</f>
        <v>187.45599999999999</v>
      </c>
      <c r="R10" s="53"/>
      <c r="S10" s="54"/>
    </row>
    <row r="11" spans="1:19" ht="36.75" thickBot="1" x14ac:dyDescent="0.3">
      <c r="A11" s="1"/>
      <c r="B11" s="38">
        <f t="shared" ref="B11:B35" si="0">ROW(B11) - ROW($B$9)</f>
        <v>2</v>
      </c>
      <c r="C11" s="80"/>
      <c r="D11" s="55" t="s">
        <v>12</v>
      </c>
      <c r="E11" s="56" t="s">
        <v>40</v>
      </c>
      <c r="F11" s="55" t="s">
        <v>67</v>
      </c>
      <c r="G11" s="56" t="s">
        <v>81</v>
      </c>
      <c r="H11" s="65" t="s">
        <v>137</v>
      </c>
      <c r="I11" s="70" t="s">
        <v>96</v>
      </c>
      <c r="J11" s="55" t="s">
        <v>138</v>
      </c>
      <c r="K11" s="58" t="s">
        <v>113</v>
      </c>
      <c r="L11" s="56">
        <v>24</v>
      </c>
      <c r="M11" s="57">
        <f t="shared" ref="M11:M36" si="1">L11*500</f>
        <v>12000</v>
      </c>
      <c r="N11" s="70">
        <v>12100</v>
      </c>
      <c r="O11" s="62" t="s">
        <v>136</v>
      </c>
      <c r="P11" s="86">
        <v>4.4000000000000003E-3</v>
      </c>
      <c r="Q11" s="64">
        <f t="shared" ref="Q11:Q36" si="2">P11*N11</f>
        <v>53.24</v>
      </c>
      <c r="R11" s="58"/>
      <c r="S11" s="59"/>
    </row>
    <row r="12" spans="1:19" ht="15.75" thickBot="1" x14ac:dyDescent="0.3">
      <c r="A12" s="1"/>
      <c r="B12" s="38">
        <f>ROW(B12) - ROW($B$9)</f>
        <v>3</v>
      </c>
      <c r="C12" s="80"/>
      <c r="D12" s="51" t="s">
        <v>13</v>
      </c>
      <c r="E12" s="52" t="s">
        <v>41</v>
      </c>
      <c r="F12" s="51" t="s">
        <v>66</v>
      </c>
      <c r="G12" s="52" t="s">
        <v>82</v>
      </c>
      <c r="H12" s="67" t="s">
        <v>137</v>
      </c>
      <c r="I12" s="69" t="s">
        <v>95</v>
      </c>
      <c r="J12" s="51" t="s">
        <v>143</v>
      </c>
      <c r="K12" s="53" t="s">
        <v>114</v>
      </c>
      <c r="L12" s="52">
        <v>1</v>
      </c>
      <c r="M12" s="51">
        <f t="shared" si="1"/>
        <v>500</v>
      </c>
      <c r="N12" s="69">
        <v>510</v>
      </c>
      <c r="O12" s="68" t="s">
        <v>136</v>
      </c>
      <c r="P12" s="71">
        <v>6.4199999999999993E-2</v>
      </c>
      <c r="Q12" s="63">
        <f t="shared" si="2"/>
        <v>32.741999999999997</v>
      </c>
      <c r="R12" s="53"/>
      <c r="S12" s="60"/>
    </row>
    <row r="13" spans="1:19" ht="15.75" thickBot="1" x14ac:dyDescent="0.3">
      <c r="A13" s="1"/>
      <c r="B13" s="38">
        <f t="shared" si="0"/>
        <v>4</v>
      </c>
      <c r="C13" s="80"/>
      <c r="D13" s="55" t="s">
        <v>14</v>
      </c>
      <c r="E13" s="56" t="s">
        <v>42</v>
      </c>
      <c r="F13" s="55" t="s">
        <v>67</v>
      </c>
      <c r="G13" s="56" t="s">
        <v>83</v>
      </c>
      <c r="H13" s="65" t="s">
        <v>137</v>
      </c>
      <c r="I13" s="70" t="s">
        <v>97</v>
      </c>
      <c r="J13" s="55" t="s">
        <v>141</v>
      </c>
      <c r="K13" s="58" t="s">
        <v>115</v>
      </c>
      <c r="L13" s="56">
        <v>3</v>
      </c>
      <c r="M13" s="57">
        <f t="shared" si="1"/>
        <v>1500</v>
      </c>
      <c r="N13" s="70">
        <v>1520</v>
      </c>
      <c r="O13" s="62" t="s">
        <v>136</v>
      </c>
      <c r="P13" s="86">
        <v>1.4E-2</v>
      </c>
      <c r="Q13" s="64">
        <f t="shared" si="2"/>
        <v>21.28</v>
      </c>
      <c r="R13" s="58"/>
      <c r="S13" s="59"/>
    </row>
    <row r="14" spans="1:19" ht="15.75" thickBot="1" x14ac:dyDescent="0.3">
      <c r="A14" s="1"/>
      <c r="B14" s="38">
        <f>ROW(B14) - ROW($B$9)</f>
        <v>5</v>
      </c>
      <c r="C14" s="80"/>
      <c r="D14" s="51" t="s">
        <v>15</v>
      </c>
      <c r="E14" s="52" t="s">
        <v>43</v>
      </c>
      <c r="F14" s="51" t="s">
        <v>67</v>
      </c>
      <c r="G14" s="66" t="s">
        <v>84</v>
      </c>
      <c r="H14" s="51" t="s">
        <v>139</v>
      </c>
      <c r="I14" s="69" t="s">
        <v>98</v>
      </c>
      <c r="J14" s="51" t="s">
        <v>140</v>
      </c>
      <c r="K14" s="53" t="s">
        <v>116</v>
      </c>
      <c r="L14" s="52">
        <v>4</v>
      </c>
      <c r="M14" s="51">
        <f t="shared" si="1"/>
        <v>2000</v>
      </c>
      <c r="N14" s="69">
        <v>2100</v>
      </c>
      <c r="O14" s="117" t="s">
        <v>136</v>
      </c>
      <c r="P14" s="71">
        <v>3.0999999999999999E-3</v>
      </c>
      <c r="Q14" s="63">
        <f t="shared" si="2"/>
        <v>6.51</v>
      </c>
      <c r="R14" s="53"/>
      <c r="S14" s="60"/>
    </row>
    <row r="15" spans="1:19" ht="24.75" thickBot="1" x14ac:dyDescent="0.3">
      <c r="A15" s="1"/>
      <c r="B15" s="38">
        <f t="shared" si="0"/>
        <v>6</v>
      </c>
      <c r="C15" s="79" t="s">
        <v>152</v>
      </c>
      <c r="D15" s="55" t="s">
        <v>16</v>
      </c>
      <c r="E15" s="56" t="s">
        <v>44</v>
      </c>
      <c r="F15" s="55" t="s">
        <v>68</v>
      </c>
      <c r="G15" s="84" t="s">
        <v>117</v>
      </c>
      <c r="H15" s="65" t="s">
        <v>137</v>
      </c>
      <c r="I15" s="70" t="s">
        <v>99</v>
      </c>
      <c r="J15" s="65" t="s">
        <v>183</v>
      </c>
      <c r="K15" s="107" t="s">
        <v>162</v>
      </c>
      <c r="L15" s="56">
        <v>1</v>
      </c>
      <c r="M15" s="57">
        <f t="shared" si="1"/>
        <v>500</v>
      </c>
      <c r="N15" s="113">
        <v>140</v>
      </c>
      <c r="O15" s="118" t="s">
        <v>175</v>
      </c>
      <c r="P15" s="115">
        <v>0.41</v>
      </c>
      <c r="Q15" s="103">
        <f t="shared" si="2"/>
        <v>57.4</v>
      </c>
      <c r="R15" s="128" t="s">
        <v>185</v>
      </c>
      <c r="S15" s="59"/>
    </row>
    <row r="16" spans="1:19" ht="24.75" thickBot="1" x14ac:dyDescent="0.3">
      <c r="A16" s="1"/>
      <c r="B16" s="38">
        <f>ROW(B16) - ROW($B$9)</f>
        <v>7</v>
      </c>
      <c r="C16" s="80"/>
      <c r="D16" s="51" t="s">
        <v>17</v>
      </c>
      <c r="E16" s="52" t="s">
        <v>45</v>
      </c>
      <c r="F16" s="51" t="s">
        <v>69</v>
      </c>
      <c r="G16" s="102" t="s">
        <v>117</v>
      </c>
      <c r="H16" s="67" t="s">
        <v>137</v>
      </c>
      <c r="I16" s="69" t="s">
        <v>99</v>
      </c>
      <c r="J16" s="67" t="s">
        <v>184</v>
      </c>
      <c r="K16" s="108" t="s">
        <v>162</v>
      </c>
      <c r="L16" s="52">
        <v>1</v>
      </c>
      <c r="M16" s="51">
        <f t="shared" si="1"/>
        <v>500</v>
      </c>
      <c r="N16" s="114"/>
      <c r="O16" s="119"/>
      <c r="P16" s="116"/>
      <c r="Q16" s="104"/>
      <c r="R16" s="129"/>
      <c r="S16" s="60"/>
    </row>
    <row r="17" spans="1:19" ht="24.75" thickBot="1" x14ac:dyDescent="0.3">
      <c r="A17" s="1"/>
      <c r="B17" s="38">
        <f t="shared" si="0"/>
        <v>8</v>
      </c>
      <c r="C17" s="81"/>
      <c r="D17" s="55" t="s">
        <v>18</v>
      </c>
      <c r="E17" s="56" t="s">
        <v>176</v>
      </c>
      <c r="F17" s="55" t="s">
        <v>168</v>
      </c>
      <c r="G17" s="92" t="s">
        <v>178</v>
      </c>
      <c r="H17" s="56" t="s">
        <v>177</v>
      </c>
      <c r="I17" s="70" t="s">
        <v>100</v>
      </c>
      <c r="J17" s="65" t="s">
        <v>162</v>
      </c>
      <c r="K17" s="107" t="s">
        <v>162</v>
      </c>
      <c r="L17" s="56">
        <v>1</v>
      </c>
      <c r="M17" s="57">
        <f t="shared" si="1"/>
        <v>500</v>
      </c>
      <c r="N17" s="70">
        <v>510</v>
      </c>
      <c r="O17" s="94" t="s">
        <v>175</v>
      </c>
      <c r="P17" s="86">
        <v>0.13200000000000001</v>
      </c>
      <c r="Q17" s="64">
        <f t="shared" si="2"/>
        <v>67.320000000000007</v>
      </c>
      <c r="R17" s="58"/>
      <c r="S17" s="59"/>
    </row>
    <row r="18" spans="1:19" ht="24.75" thickBot="1" x14ac:dyDescent="0.3">
      <c r="A18" s="1"/>
      <c r="B18" s="38">
        <f>ROW(B18) - ROW($B$9)</f>
        <v>9</v>
      </c>
      <c r="C18" s="79" t="s">
        <v>153</v>
      </c>
      <c r="D18" s="51" t="s">
        <v>19</v>
      </c>
      <c r="E18" s="52" t="s">
        <v>46</v>
      </c>
      <c r="F18" s="87" t="s">
        <v>160</v>
      </c>
      <c r="G18" s="53" t="s">
        <v>70</v>
      </c>
      <c r="H18" s="67" t="s">
        <v>137</v>
      </c>
      <c r="I18" s="69" t="s">
        <v>101</v>
      </c>
      <c r="J18" s="51" t="s">
        <v>161</v>
      </c>
      <c r="K18" s="108" t="s">
        <v>162</v>
      </c>
      <c r="L18" s="52">
        <v>5</v>
      </c>
      <c r="M18" s="51">
        <f t="shared" si="1"/>
        <v>2500</v>
      </c>
      <c r="N18" s="69">
        <v>2550</v>
      </c>
      <c r="O18" s="120" t="s">
        <v>136</v>
      </c>
      <c r="P18" s="71">
        <v>6.8999999999999999E-3</v>
      </c>
      <c r="Q18" s="63">
        <f t="shared" si="2"/>
        <v>17.594999999999999</v>
      </c>
      <c r="R18" s="53"/>
      <c r="S18" s="60"/>
    </row>
    <row r="19" spans="1:19" ht="15.75" thickBot="1" x14ac:dyDescent="0.3">
      <c r="A19" s="1"/>
      <c r="B19" s="38">
        <f t="shared" si="0"/>
        <v>10</v>
      </c>
      <c r="C19" s="80"/>
      <c r="D19" s="55" t="s">
        <v>20</v>
      </c>
      <c r="E19" s="56" t="s">
        <v>47</v>
      </c>
      <c r="F19" s="55" t="s">
        <v>71</v>
      </c>
      <c r="G19" s="88" t="s">
        <v>163</v>
      </c>
      <c r="H19" s="65" t="s">
        <v>137</v>
      </c>
      <c r="I19" s="70" t="s">
        <v>102</v>
      </c>
      <c r="J19" s="55" t="s">
        <v>164</v>
      </c>
      <c r="K19" s="107" t="s">
        <v>162</v>
      </c>
      <c r="L19" s="56">
        <v>1</v>
      </c>
      <c r="M19" s="57">
        <f t="shared" si="1"/>
        <v>500</v>
      </c>
      <c r="N19" s="70">
        <v>520</v>
      </c>
      <c r="O19" s="121" t="s">
        <v>136</v>
      </c>
      <c r="P19" s="86">
        <v>3.1399999999999997E-2</v>
      </c>
      <c r="Q19" s="64">
        <f t="shared" si="2"/>
        <v>16.327999999999999</v>
      </c>
      <c r="R19" s="58"/>
      <c r="S19" s="59"/>
    </row>
    <row r="20" spans="1:19" ht="24.75" thickBot="1" x14ac:dyDescent="0.3">
      <c r="A20" s="1"/>
      <c r="B20" s="38">
        <f>ROW(B20) - ROW($B$9)</f>
        <v>11</v>
      </c>
      <c r="C20" s="82" t="s">
        <v>154</v>
      </c>
      <c r="D20" s="51" t="s">
        <v>21</v>
      </c>
      <c r="E20" s="52" t="s">
        <v>48</v>
      </c>
      <c r="F20" s="51" t="s">
        <v>72</v>
      </c>
      <c r="G20" s="89" t="s">
        <v>165</v>
      </c>
      <c r="H20" s="67" t="s">
        <v>137</v>
      </c>
      <c r="I20" s="69" t="s">
        <v>103</v>
      </c>
      <c r="J20" s="51" t="s">
        <v>166</v>
      </c>
      <c r="K20" s="108" t="s">
        <v>162</v>
      </c>
      <c r="L20" s="52">
        <v>3</v>
      </c>
      <c r="M20" s="51">
        <f t="shared" si="1"/>
        <v>1500</v>
      </c>
      <c r="N20" s="69">
        <v>1510</v>
      </c>
      <c r="O20" s="122" t="s">
        <v>136</v>
      </c>
      <c r="P20" s="71">
        <v>6.6100000000000006E-2</v>
      </c>
      <c r="Q20" s="63">
        <f t="shared" si="2"/>
        <v>99.811000000000007</v>
      </c>
      <c r="R20" s="53"/>
      <c r="S20" s="60"/>
    </row>
    <row r="21" spans="1:19" ht="16.5" thickBot="1" x14ac:dyDescent="0.3">
      <c r="A21" s="1"/>
      <c r="B21" s="38">
        <f t="shared" si="0"/>
        <v>12</v>
      </c>
      <c r="C21" s="83" t="s">
        <v>118</v>
      </c>
      <c r="D21" s="55" t="s">
        <v>22</v>
      </c>
      <c r="E21" s="56" t="s">
        <v>49</v>
      </c>
      <c r="F21" s="55" t="s">
        <v>168</v>
      </c>
      <c r="G21" s="84" t="s">
        <v>137</v>
      </c>
      <c r="H21" s="65" t="s">
        <v>137</v>
      </c>
      <c r="I21" s="106" t="s">
        <v>137</v>
      </c>
      <c r="J21" s="85" t="s">
        <v>137</v>
      </c>
      <c r="K21" s="107" t="s">
        <v>162</v>
      </c>
      <c r="L21" s="56">
        <v>3</v>
      </c>
      <c r="M21" s="57">
        <f t="shared" si="1"/>
        <v>1500</v>
      </c>
      <c r="N21" s="84" t="s">
        <v>137</v>
      </c>
      <c r="O21" s="65" t="s">
        <v>137</v>
      </c>
      <c r="P21" s="107" t="s">
        <v>137</v>
      </c>
      <c r="Q21" s="65" t="s">
        <v>137</v>
      </c>
      <c r="R21" s="90" t="s">
        <v>167</v>
      </c>
      <c r="S21" s="65"/>
    </row>
    <row r="22" spans="1:19" ht="24.75" thickBot="1" x14ac:dyDescent="0.3">
      <c r="A22" s="1"/>
      <c r="B22" s="38">
        <f>ROW(B22) - ROW($B$9)</f>
        <v>13</v>
      </c>
      <c r="C22" s="79" t="s">
        <v>155</v>
      </c>
      <c r="D22" s="51" t="s">
        <v>23</v>
      </c>
      <c r="E22" s="52" t="s">
        <v>50</v>
      </c>
      <c r="F22" s="51" t="s">
        <v>73</v>
      </c>
      <c r="G22" s="52" t="s">
        <v>85</v>
      </c>
      <c r="H22" s="67" t="s">
        <v>137</v>
      </c>
      <c r="I22" s="69" t="s">
        <v>96</v>
      </c>
      <c r="J22" s="109" t="s">
        <v>144</v>
      </c>
      <c r="K22" s="53" t="s">
        <v>119</v>
      </c>
      <c r="L22" s="52">
        <v>12</v>
      </c>
      <c r="M22" s="51">
        <f t="shared" si="1"/>
        <v>6000</v>
      </c>
      <c r="N22" s="69">
        <v>6100</v>
      </c>
      <c r="O22" s="123" t="s">
        <v>136</v>
      </c>
      <c r="P22" s="71">
        <v>1.5E-3</v>
      </c>
      <c r="Q22" s="63">
        <f t="shared" si="2"/>
        <v>9.15</v>
      </c>
      <c r="R22" s="53"/>
      <c r="S22" s="60"/>
    </row>
    <row r="23" spans="1:19" ht="15.75" thickBot="1" x14ac:dyDescent="0.3">
      <c r="A23" s="1"/>
      <c r="B23" s="38">
        <f t="shared" si="0"/>
        <v>14</v>
      </c>
      <c r="C23" s="80"/>
      <c r="D23" s="55" t="s">
        <v>24</v>
      </c>
      <c r="E23" s="56" t="s">
        <v>51</v>
      </c>
      <c r="F23" s="55" t="s">
        <v>73</v>
      </c>
      <c r="G23" s="56" t="s">
        <v>86</v>
      </c>
      <c r="H23" s="65" t="s">
        <v>137</v>
      </c>
      <c r="I23" s="70" t="s">
        <v>96</v>
      </c>
      <c r="J23" s="110" t="s">
        <v>145</v>
      </c>
      <c r="K23" s="58" t="s">
        <v>120</v>
      </c>
      <c r="L23" s="56">
        <v>3</v>
      </c>
      <c r="M23" s="57">
        <f t="shared" si="1"/>
        <v>1500</v>
      </c>
      <c r="N23" s="70">
        <v>1600</v>
      </c>
      <c r="O23" s="124" t="s">
        <v>136</v>
      </c>
      <c r="P23" s="86">
        <v>1.1000000000000001E-3</v>
      </c>
      <c r="Q23" s="64">
        <f t="shared" si="2"/>
        <v>1.76</v>
      </c>
      <c r="R23" s="58"/>
      <c r="S23" s="59"/>
    </row>
    <row r="24" spans="1:19" ht="15.75" thickBot="1" x14ac:dyDescent="0.3">
      <c r="A24" s="1"/>
      <c r="B24" s="38">
        <f>ROW(B24) - ROW($B$9)</f>
        <v>15</v>
      </c>
      <c r="C24" s="80"/>
      <c r="D24" s="51" t="s">
        <v>25</v>
      </c>
      <c r="E24" s="52" t="s">
        <v>52</v>
      </c>
      <c r="F24" s="51" t="s">
        <v>73</v>
      </c>
      <c r="G24" s="52" t="s">
        <v>87</v>
      </c>
      <c r="H24" s="67" t="s">
        <v>137</v>
      </c>
      <c r="I24" s="69" t="s">
        <v>96</v>
      </c>
      <c r="J24" s="109" t="s">
        <v>146</v>
      </c>
      <c r="K24" s="53" t="s">
        <v>121</v>
      </c>
      <c r="L24" s="52">
        <v>1</v>
      </c>
      <c r="M24" s="51">
        <f t="shared" si="1"/>
        <v>500</v>
      </c>
      <c r="N24" s="69">
        <v>600</v>
      </c>
      <c r="O24" s="125" t="s">
        <v>136</v>
      </c>
      <c r="P24" s="71">
        <v>1.1999999999999999E-3</v>
      </c>
      <c r="Q24" s="63">
        <f t="shared" si="2"/>
        <v>0.72</v>
      </c>
      <c r="R24" s="53"/>
      <c r="S24" s="60"/>
    </row>
    <row r="25" spans="1:19" ht="24.75" thickBot="1" x14ac:dyDescent="0.3">
      <c r="A25" s="1"/>
      <c r="B25" s="38">
        <f t="shared" si="0"/>
        <v>16</v>
      </c>
      <c r="C25" s="80"/>
      <c r="D25" s="55" t="s">
        <v>26</v>
      </c>
      <c r="E25" s="56" t="s">
        <v>53</v>
      </c>
      <c r="F25" s="55" t="s">
        <v>73</v>
      </c>
      <c r="G25" s="56" t="s">
        <v>88</v>
      </c>
      <c r="H25" s="65" t="s">
        <v>137</v>
      </c>
      <c r="I25" s="70" t="s">
        <v>96</v>
      </c>
      <c r="J25" s="110" t="s">
        <v>147</v>
      </c>
      <c r="K25" s="58" t="s">
        <v>122</v>
      </c>
      <c r="L25" s="56">
        <v>3</v>
      </c>
      <c r="M25" s="57">
        <f t="shared" si="1"/>
        <v>1500</v>
      </c>
      <c r="N25" s="70">
        <v>1600</v>
      </c>
      <c r="O25" s="124" t="s">
        <v>136</v>
      </c>
      <c r="P25" s="86">
        <v>1E-3</v>
      </c>
      <c r="Q25" s="64">
        <f t="shared" si="2"/>
        <v>1.6</v>
      </c>
      <c r="R25" s="58"/>
      <c r="S25" s="59"/>
    </row>
    <row r="26" spans="1:19" ht="15.75" thickBot="1" x14ac:dyDescent="0.3">
      <c r="A26" s="1"/>
      <c r="B26" s="38">
        <f>ROW(B26) - ROW($B$9)</f>
        <v>17</v>
      </c>
      <c r="C26" s="80"/>
      <c r="D26" s="51" t="s">
        <v>27</v>
      </c>
      <c r="E26" s="52" t="s">
        <v>54</v>
      </c>
      <c r="F26" s="51" t="s">
        <v>73</v>
      </c>
      <c r="G26" s="52" t="s">
        <v>89</v>
      </c>
      <c r="H26" s="67" t="s">
        <v>137</v>
      </c>
      <c r="I26" s="69" t="s">
        <v>96</v>
      </c>
      <c r="J26" s="111" t="s">
        <v>148</v>
      </c>
      <c r="K26" s="53" t="s">
        <v>123</v>
      </c>
      <c r="L26" s="52">
        <v>1</v>
      </c>
      <c r="M26" s="51">
        <f t="shared" si="1"/>
        <v>500</v>
      </c>
      <c r="N26" s="69">
        <v>520</v>
      </c>
      <c r="O26" s="123" t="s">
        <v>136</v>
      </c>
      <c r="P26" s="71">
        <v>1.61E-2</v>
      </c>
      <c r="Q26" s="63">
        <f t="shared" si="2"/>
        <v>8.3719999999999999</v>
      </c>
      <c r="R26" s="53"/>
      <c r="S26" s="60"/>
    </row>
    <row r="27" spans="1:19" ht="24.75" thickBot="1" x14ac:dyDescent="0.3">
      <c r="A27" s="1"/>
      <c r="B27" s="38">
        <f t="shared" si="0"/>
        <v>18</v>
      </c>
      <c r="C27" s="80"/>
      <c r="D27" s="55" t="s">
        <v>28</v>
      </c>
      <c r="E27" s="56" t="s">
        <v>55</v>
      </c>
      <c r="F27" s="55" t="s">
        <v>73</v>
      </c>
      <c r="G27" s="56" t="s">
        <v>90</v>
      </c>
      <c r="H27" s="65" t="s">
        <v>137</v>
      </c>
      <c r="I27" s="70" t="s">
        <v>96</v>
      </c>
      <c r="J27" s="110" t="s">
        <v>149</v>
      </c>
      <c r="K27" s="58" t="s">
        <v>124</v>
      </c>
      <c r="L27" s="56">
        <v>2</v>
      </c>
      <c r="M27" s="57">
        <f t="shared" si="1"/>
        <v>1000</v>
      </c>
      <c r="N27" s="70">
        <v>1100</v>
      </c>
      <c r="O27" s="126" t="s">
        <v>136</v>
      </c>
      <c r="P27" s="86">
        <v>8.0000000000000004E-4</v>
      </c>
      <c r="Q27" s="64">
        <f t="shared" si="2"/>
        <v>0.88</v>
      </c>
      <c r="R27" s="58"/>
      <c r="S27" s="59"/>
    </row>
    <row r="28" spans="1:19" ht="24.75" thickBot="1" x14ac:dyDescent="0.3">
      <c r="A28" s="1"/>
      <c r="B28" s="38">
        <f>ROW(B28) - ROW($B$9)</f>
        <v>19</v>
      </c>
      <c r="C28" s="81"/>
      <c r="D28" s="51" t="s">
        <v>29</v>
      </c>
      <c r="E28" s="52" t="s">
        <v>56</v>
      </c>
      <c r="F28" s="51" t="s">
        <v>73</v>
      </c>
      <c r="G28" s="52" t="s">
        <v>91</v>
      </c>
      <c r="H28" s="67" t="s">
        <v>137</v>
      </c>
      <c r="I28" s="69" t="s">
        <v>96</v>
      </c>
      <c r="J28" s="109" t="s">
        <v>174</v>
      </c>
      <c r="K28" s="53" t="s">
        <v>125</v>
      </c>
      <c r="L28" s="52">
        <v>1</v>
      </c>
      <c r="M28" s="51">
        <f t="shared" si="1"/>
        <v>500</v>
      </c>
      <c r="N28" s="69">
        <v>600</v>
      </c>
      <c r="O28" s="127" t="s">
        <v>136</v>
      </c>
      <c r="P28" s="71">
        <v>1.4E-3</v>
      </c>
      <c r="Q28" s="63">
        <f t="shared" si="2"/>
        <v>0.84</v>
      </c>
      <c r="R28" s="53"/>
      <c r="S28" s="60"/>
    </row>
    <row r="29" spans="1:19" ht="16.5" thickBot="1" x14ac:dyDescent="0.3">
      <c r="A29" s="1"/>
      <c r="B29" s="38">
        <f t="shared" si="0"/>
        <v>20</v>
      </c>
      <c r="C29" s="83" t="s">
        <v>159</v>
      </c>
      <c r="D29" s="55" t="s">
        <v>30</v>
      </c>
      <c r="E29" s="56" t="s">
        <v>57</v>
      </c>
      <c r="F29" s="55" t="s">
        <v>168</v>
      </c>
      <c r="G29" s="65" t="s">
        <v>137</v>
      </c>
      <c r="H29" s="65" t="s">
        <v>137</v>
      </c>
      <c r="I29" s="106" t="s">
        <v>137</v>
      </c>
      <c r="J29" s="65" t="s">
        <v>137</v>
      </c>
      <c r="K29" s="107" t="s">
        <v>137</v>
      </c>
      <c r="L29" s="56">
        <v>5</v>
      </c>
      <c r="M29" s="57">
        <f t="shared" si="1"/>
        <v>2500</v>
      </c>
      <c r="N29" s="106" t="s">
        <v>137</v>
      </c>
      <c r="O29" s="65" t="s">
        <v>137</v>
      </c>
      <c r="P29" s="107" t="s">
        <v>137</v>
      </c>
      <c r="Q29" s="65" t="s">
        <v>137</v>
      </c>
      <c r="R29" s="90" t="s">
        <v>167</v>
      </c>
      <c r="S29" s="59"/>
    </row>
    <row r="30" spans="1:19" ht="24.75" thickBot="1" x14ac:dyDescent="0.3">
      <c r="A30" s="1"/>
      <c r="B30" s="38">
        <f>ROW(B30) - ROW($B$9)</f>
        <v>21</v>
      </c>
      <c r="C30" s="82" t="s">
        <v>157</v>
      </c>
      <c r="D30" s="51" t="s">
        <v>31</v>
      </c>
      <c r="E30" s="52" t="s">
        <v>58</v>
      </c>
      <c r="F30" s="51" t="s">
        <v>168</v>
      </c>
      <c r="G30" s="52" t="s">
        <v>74</v>
      </c>
      <c r="H30" s="67" t="s">
        <v>137</v>
      </c>
      <c r="I30" s="69" t="s">
        <v>104</v>
      </c>
      <c r="J30" s="51" t="s">
        <v>169</v>
      </c>
      <c r="K30" s="108" t="s">
        <v>162</v>
      </c>
      <c r="L30" s="52">
        <v>1</v>
      </c>
      <c r="M30" s="51">
        <f t="shared" si="1"/>
        <v>500</v>
      </c>
      <c r="N30" s="69">
        <v>510</v>
      </c>
      <c r="O30" s="68" t="s">
        <v>136</v>
      </c>
      <c r="P30" s="71">
        <v>0.45989999999999998</v>
      </c>
      <c r="Q30" s="63">
        <f t="shared" si="2"/>
        <v>234.54899999999998</v>
      </c>
      <c r="R30" s="53"/>
      <c r="S30" s="60"/>
    </row>
    <row r="31" spans="1:19" ht="16.5" customHeight="1" thickBot="1" x14ac:dyDescent="0.3">
      <c r="A31" s="1"/>
      <c r="B31" s="38">
        <f t="shared" si="0"/>
        <v>22</v>
      </c>
      <c r="C31" s="80" t="s">
        <v>156</v>
      </c>
      <c r="D31" s="55" t="s">
        <v>32</v>
      </c>
      <c r="E31" s="56" t="s">
        <v>59</v>
      </c>
      <c r="F31" s="55"/>
      <c r="G31" s="56" t="s">
        <v>92</v>
      </c>
      <c r="H31" s="55"/>
      <c r="I31" s="70" t="s">
        <v>105</v>
      </c>
      <c r="J31" s="55"/>
      <c r="K31" s="107" t="s">
        <v>137</v>
      </c>
      <c r="L31" s="56">
        <v>1</v>
      </c>
      <c r="M31" s="57">
        <f t="shared" si="1"/>
        <v>500</v>
      </c>
      <c r="N31" s="70"/>
      <c r="O31" s="55"/>
      <c r="P31" s="86"/>
      <c r="Q31" s="64">
        <f t="shared" si="2"/>
        <v>0</v>
      </c>
      <c r="R31" s="90" t="s">
        <v>179</v>
      </c>
      <c r="S31" s="59"/>
    </row>
    <row r="32" spans="1:19" ht="24.75" thickBot="1" x14ac:dyDescent="0.3">
      <c r="A32" s="1"/>
      <c r="B32" s="38">
        <f>ROW(B32) - ROW($B$9)</f>
        <v>23</v>
      </c>
      <c r="C32" s="80"/>
      <c r="D32" s="51" t="s">
        <v>33</v>
      </c>
      <c r="E32" s="52" t="s">
        <v>60</v>
      </c>
      <c r="F32" s="91" t="s">
        <v>170</v>
      </c>
      <c r="G32" s="52" t="s">
        <v>75</v>
      </c>
      <c r="H32" s="67" t="s">
        <v>137</v>
      </c>
      <c r="I32" s="69" t="s">
        <v>106</v>
      </c>
      <c r="J32" s="51" t="s">
        <v>171</v>
      </c>
      <c r="K32" s="108" t="s">
        <v>162</v>
      </c>
      <c r="L32" s="52">
        <v>1</v>
      </c>
      <c r="M32" s="51">
        <f t="shared" si="1"/>
        <v>500</v>
      </c>
      <c r="N32" s="69">
        <v>505</v>
      </c>
      <c r="O32" s="123" t="s">
        <v>136</v>
      </c>
      <c r="P32" s="71">
        <v>0.3054</v>
      </c>
      <c r="Q32" s="63">
        <f t="shared" si="2"/>
        <v>154.227</v>
      </c>
      <c r="R32" s="53"/>
      <c r="S32" s="60"/>
    </row>
    <row r="33" spans="1:19" ht="16.5" customHeight="1" thickBot="1" x14ac:dyDescent="0.3">
      <c r="A33" s="1"/>
      <c r="B33" s="38">
        <f t="shared" si="0"/>
        <v>24</v>
      </c>
      <c r="C33" s="80"/>
      <c r="D33" s="55" t="s">
        <v>34</v>
      </c>
      <c r="E33" s="56" t="s">
        <v>61</v>
      </c>
      <c r="F33" s="92" t="s">
        <v>172</v>
      </c>
      <c r="G33" s="56" t="s">
        <v>76</v>
      </c>
      <c r="H33" s="65" t="s">
        <v>137</v>
      </c>
      <c r="I33" s="70" t="s">
        <v>107</v>
      </c>
      <c r="J33" s="55" t="s">
        <v>173</v>
      </c>
      <c r="K33" s="107" t="s">
        <v>137</v>
      </c>
      <c r="L33" s="56">
        <v>1</v>
      </c>
      <c r="M33" s="57">
        <f t="shared" si="1"/>
        <v>500</v>
      </c>
      <c r="N33" s="70">
        <v>505</v>
      </c>
      <c r="O33" s="93" t="s">
        <v>136</v>
      </c>
      <c r="P33" s="86">
        <v>0.45450000000000002</v>
      </c>
      <c r="Q33" s="64">
        <f t="shared" si="2"/>
        <v>229.52250000000001</v>
      </c>
      <c r="R33" s="58"/>
      <c r="S33" s="59"/>
    </row>
    <row r="34" spans="1:19" ht="16.5" customHeight="1" thickBot="1" x14ac:dyDescent="0.3">
      <c r="A34" s="1"/>
      <c r="B34" s="38">
        <f>ROW(B34) - ROW($B$9)</f>
        <v>25</v>
      </c>
      <c r="C34" s="80"/>
      <c r="D34" s="51" t="s">
        <v>35</v>
      </c>
      <c r="E34" s="52" t="s">
        <v>62</v>
      </c>
      <c r="F34" s="51"/>
      <c r="G34" s="52" t="s">
        <v>93</v>
      </c>
      <c r="H34" s="67" t="s">
        <v>137</v>
      </c>
      <c r="I34" s="69" t="s">
        <v>108</v>
      </c>
      <c r="J34" s="51"/>
      <c r="K34" s="108" t="s">
        <v>162</v>
      </c>
      <c r="L34" s="52">
        <v>1</v>
      </c>
      <c r="M34" s="51">
        <f t="shared" si="1"/>
        <v>500</v>
      </c>
      <c r="N34" s="69"/>
      <c r="O34" s="51"/>
      <c r="P34" s="71"/>
      <c r="Q34" s="63">
        <f t="shared" si="2"/>
        <v>0</v>
      </c>
      <c r="R34" s="95" t="s">
        <v>179</v>
      </c>
      <c r="S34" s="60"/>
    </row>
    <row r="35" spans="1:19" ht="16.5" customHeight="1" thickBot="1" x14ac:dyDescent="0.3">
      <c r="A35" s="1"/>
      <c r="B35" s="38">
        <f t="shared" si="0"/>
        <v>26</v>
      </c>
      <c r="C35" s="79" t="s">
        <v>158</v>
      </c>
      <c r="D35" s="55" t="s">
        <v>36</v>
      </c>
      <c r="E35" s="56" t="s">
        <v>63</v>
      </c>
      <c r="F35" s="55" t="s">
        <v>168</v>
      </c>
      <c r="G35" s="84" t="s">
        <v>77</v>
      </c>
      <c r="H35" s="65" t="s">
        <v>137</v>
      </c>
      <c r="I35" s="70" t="s">
        <v>109</v>
      </c>
      <c r="J35" s="55"/>
      <c r="K35" s="107" t="s">
        <v>137</v>
      </c>
      <c r="L35" s="56">
        <v>1</v>
      </c>
      <c r="M35" s="57">
        <f t="shared" si="1"/>
        <v>500</v>
      </c>
      <c r="N35" s="70"/>
      <c r="O35" s="55"/>
      <c r="P35" s="86"/>
      <c r="Q35" s="64">
        <f t="shared" si="2"/>
        <v>0</v>
      </c>
      <c r="R35" s="90" t="s">
        <v>179</v>
      </c>
      <c r="S35" s="59"/>
    </row>
    <row r="36" spans="1:19" ht="15.75" thickBot="1" x14ac:dyDescent="0.3">
      <c r="A36" s="1"/>
      <c r="B36" s="38">
        <f>ROW(B36) - ROW($B$9)</f>
        <v>27</v>
      </c>
      <c r="C36" s="81"/>
      <c r="D36" s="51" t="s">
        <v>37</v>
      </c>
      <c r="E36" s="52" t="s">
        <v>64</v>
      </c>
      <c r="F36" s="51" t="s">
        <v>168</v>
      </c>
      <c r="G36" s="52" t="s">
        <v>78</v>
      </c>
      <c r="H36" s="67" t="s">
        <v>137</v>
      </c>
      <c r="I36" s="69" t="s">
        <v>110</v>
      </c>
      <c r="J36" s="112"/>
      <c r="K36" s="108" t="s">
        <v>162</v>
      </c>
      <c r="L36" s="52">
        <v>1</v>
      </c>
      <c r="M36" s="51">
        <f t="shared" si="1"/>
        <v>500</v>
      </c>
      <c r="N36" s="69"/>
      <c r="O36" s="112"/>
      <c r="P36" s="71"/>
      <c r="Q36" s="130">
        <f t="shared" si="2"/>
        <v>0</v>
      </c>
      <c r="R36" s="95" t="s">
        <v>179</v>
      </c>
      <c r="S36" s="61"/>
    </row>
    <row r="37" spans="1:19" ht="19.5" thickBot="1" x14ac:dyDescent="0.3">
      <c r="A37" s="1"/>
      <c r="B37" s="33"/>
      <c r="C37" s="77"/>
      <c r="D37" s="34" t="s">
        <v>5</v>
      </c>
      <c r="E37" s="35"/>
      <c r="F37" s="36"/>
      <c r="G37" s="37"/>
      <c r="H37" s="37"/>
      <c r="I37" s="36"/>
      <c r="J37" s="36"/>
      <c r="K37" s="37"/>
      <c r="L37" s="37"/>
      <c r="M37" s="37"/>
      <c r="N37" s="96" t="s">
        <v>180</v>
      </c>
      <c r="O37" s="97"/>
      <c r="P37" s="97"/>
      <c r="Q37" s="98">
        <f>SUM(Q10:Q36)</f>
        <v>1201.3024999999998</v>
      </c>
      <c r="R37" s="47"/>
      <c r="S37" s="48"/>
    </row>
    <row r="38" spans="1:19" ht="19.5" thickBot="1" x14ac:dyDescent="0.3">
      <c r="A38" s="1"/>
      <c r="B38" s="25"/>
      <c r="C38" s="78"/>
      <c r="D38" s="9" t="s">
        <v>6</v>
      </c>
      <c r="E38" s="10"/>
      <c r="F38" s="10"/>
      <c r="G38" s="10"/>
      <c r="H38" s="10"/>
      <c r="I38" s="10"/>
      <c r="J38" s="10"/>
      <c r="K38" s="10"/>
      <c r="L38" s="10"/>
      <c r="M38" s="10"/>
      <c r="N38" s="96" t="s">
        <v>181</v>
      </c>
      <c r="O38" s="97"/>
      <c r="P38" s="99"/>
      <c r="Q38" s="100">
        <v>42.53</v>
      </c>
      <c r="R38" s="49"/>
      <c r="S38" s="50"/>
    </row>
    <row r="39" spans="1:19" ht="19.5" thickBot="1" x14ac:dyDescent="0.3">
      <c r="N39" s="96" t="s">
        <v>182</v>
      </c>
      <c r="O39" s="97"/>
      <c r="P39" s="97"/>
      <c r="Q39" s="101">
        <f>Q37/500</f>
        <v>2.4026049999999994</v>
      </c>
    </row>
  </sheetData>
  <mergeCells count="17">
    <mergeCell ref="N39:P39"/>
    <mergeCell ref="R15:R16"/>
    <mergeCell ref="P15:P16"/>
    <mergeCell ref="Q15:Q16"/>
    <mergeCell ref="N15:N16"/>
    <mergeCell ref="K1:S1"/>
    <mergeCell ref="S3:S8"/>
    <mergeCell ref="R37:S38"/>
    <mergeCell ref="C10:C14"/>
    <mergeCell ref="C15:C17"/>
    <mergeCell ref="C18:C19"/>
    <mergeCell ref="C22:C28"/>
    <mergeCell ref="C31:C34"/>
    <mergeCell ref="C35:C36"/>
    <mergeCell ref="O15:O16"/>
    <mergeCell ref="N37:P37"/>
    <mergeCell ref="N38:P38"/>
  </mergeCells>
  <conditionalFormatting sqref="O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{4E8685F4-FF1F-4BA4-A8A9-B9B7A6C63F2F}</x14:id>
        </ext>
      </extLst>
    </cfRule>
  </conditionalFormatting>
  <conditionalFormatting sqref="O1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{7E97BDC0-F548-4709-8EFB-C2C9CD739BB8}</x14:id>
        </ext>
      </extLst>
    </cfRule>
  </conditionalFormatting>
  <conditionalFormatting sqref="O18:O1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{57AD2C88-02E2-4477-A8CF-6C57574A7F6E}</x14:id>
        </ext>
      </extLst>
    </cfRule>
  </conditionalFormatting>
  <conditionalFormatting sqref="O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{1B99198B-DE8B-45AE-8693-A14704A8DDD7}</x14:id>
        </ext>
      </extLst>
    </cfRule>
  </conditionalFormatting>
  <hyperlinks>
    <hyperlink ref="O11" r:id="rId1" xr:uid="{C6B02148-4707-4901-B984-AFB9EF721279}"/>
    <hyperlink ref="O14" r:id="rId2" xr:uid="{4B274F78-A9B9-473A-B0C3-8DFFB2910F7C}"/>
    <hyperlink ref="O13" r:id="rId3" xr:uid="{C3C8F532-EF15-46A7-B5C6-DF3ED28BEDAE}"/>
    <hyperlink ref="O10" r:id="rId4" xr:uid="{E7F1D38A-F6D7-49DD-AD8F-7D617BEA4FCB}"/>
    <hyperlink ref="O12" r:id="rId5" xr:uid="{153D22AA-0C97-4F93-B9D8-44560DC0DB9B}"/>
    <hyperlink ref="O22" r:id="rId6" xr:uid="{67D82A06-0E26-4D8A-BA1B-AA0997884CA8}"/>
    <hyperlink ref="O24" r:id="rId7" xr:uid="{B2F39CEB-7408-448F-ABCE-10BA8C0C084B}"/>
    <hyperlink ref="O23" r:id="rId8" xr:uid="{90644E0C-D9D3-4FBB-A6C9-F044DF99AA2C}"/>
    <hyperlink ref="O25" r:id="rId9" xr:uid="{E13DDD7B-527B-4035-A117-0E8A528BCBC7}"/>
    <hyperlink ref="O26" r:id="rId10" xr:uid="{EC77F680-C5DA-4773-BCCB-88AB1718A489}"/>
    <hyperlink ref="O27" r:id="rId11" xr:uid="{815A3342-7A81-4389-9B49-94BA3C68A3E2}"/>
    <hyperlink ref="O18" r:id="rId12" xr:uid="{ED3D1B58-94F7-4EA1-856F-4F1130EAE950}"/>
    <hyperlink ref="O19" r:id="rId13" xr:uid="{7D994EC4-7BD4-4415-A0BB-1A8F4726EB2A}"/>
    <hyperlink ref="O20" r:id="rId14" xr:uid="{F2AA434C-E8FC-4109-B38C-E3A167DFB339}"/>
    <hyperlink ref="O30" r:id="rId15" xr:uid="{F25C6ACA-5304-4BBB-89FE-5C2F70CBCA87}"/>
    <hyperlink ref="O32" r:id="rId16" xr:uid="{F0CEC956-9CBD-4081-9E02-541B43334ECA}"/>
    <hyperlink ref="O33" r:id="rId17" xr:uid="{3D961140-2712-4F5B-B3F7-1A596F78428B}"/>
    <hyperlink ref="O28" r:id="rId18" xr:uid="{E075B427-64F6-4177-AF2A-7BBE421C14A7}"/>
    <hyperlink ref="O17" r:id="rId19" xr:uid="{33DB0923-3B38-405A-BBDD-6664383AF100}"/>
    <hyperlink ref="O15" r:id="rId20" xr:uid="{35CE2201-5F33-4F0C-A2FA-23C8E510FC0B}"/>
  </hyperlinks>
  <pageMargins left="0.7" right="0.7" top="0.75" bottom="0.75" header="0.3" footer="0.3"/>
  <pageSetup paperSize="9" orientation="portrait" r:id="rId21"/>
  <drawing r:id="rId2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8685F4-FF1F-4BA4-A8A9-B9B7A6C63F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7E97BDC0-F548-4709-8EFB-C2C9CD739B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57AD2C88-02E2-4477-A8CF-6C57574A7F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O18:O19</xm:sqref>
        </x14:conditionalFormatting>
        <x14:conditionalFormatting xmlns:xm="http://schemas.microsoft.com/office/excel/2006/main">
          <x14:cfRule type="dataBar" id="{1B99198B-DE8B-45AE-8693-A14704A8DD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2022-07-26T15:24:34Z</dcterms:modified>
</cp:coreProperties>
</file>