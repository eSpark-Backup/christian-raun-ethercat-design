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Control_Board\BOM\"/>
    </mc:Choice>
  </mc:AlternateContent>
  <xr:revisionPtr revIDLastSave="0" documentId="8_{CCE9FDDE-E62A-4E79-A57C-9F68DA02A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" i="1"/>
</calcChain>
</file>

<file path=xl/sharedStrings.xml><?xml version="1.0" encoding="utf-8"?>
<sst xmlns="http://schemas.openxmlformats.org/spreadsheetml/2006/main" count="265" uniqueCount="176">
  <si>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</si>
  <si>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</si>
  <si>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</si>
  <si>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</si>
  <si>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</si>
  <si>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</si>
  <si>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</si>
  <si>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</si>
  <si>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</si>
  <si>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</si>
  <si>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</si>
  <si>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</si>
  <si>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Link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</si>
  <si>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</si>
  <si>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</si>
  <si>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</si>
  <si>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</si>
  <si>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</si>
  <si>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</si>
  <si>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</si>
  <si>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</si>
  <si>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</si>
  <si>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LCSC</t>
  </si>
  <si>
    <t>CAP CER 0.1UF 100V X7R 0603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</si>
  <si>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</si>
  <si>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</si>
  <si>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</si>
  <si>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</si>
  <si>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</si>
  <si>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</si>
  <si>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</si>
  <si>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</si>
  <si>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</si>
  <si>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</si>
  <si>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</si>
  <si>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</si>
  <si>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</si>
  <si>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</si>
  <si>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</si>
  <si>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</si>
  <si>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</si>
  <si>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</si>
  <si>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</si>
  <si>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</si>
  <si>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</si>
  <si>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</si>
  <si>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</si>
  <si>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</si>
  <si>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</si>
  <si>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</si>
  <si>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</si>
  <si>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</si>
  <si>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</si>
  <si>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</si>
  <si>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</si>
  <si>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</si>
  <si>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</si>
  <si>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</si>
  <si>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</si>
  <si>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</si>
  <si>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</si>
  <si>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</si>
  <si>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</si>
  <si>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</si>
  <si>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</si>
  <si>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</si>
  <si>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</si>
  <si>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</si>
  <si>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</si>
  <si>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</si>
  <si>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</si>
  <si>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</si>
  <si>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</si>
  <si>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</si>
  <si>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</si>
  <si>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</si>
  <si>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</si>
  <si>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</si>
  <si>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</si>
  <si>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</si>
  <si>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</si>
  <si>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</si>
  <si>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</si>
  <si>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</si>
  <si>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</si>
  <si>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</si>
  <si>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</si>
  <si>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</si>
  <si>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</si>
  <si>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</si>
  <si>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</si>
  <si>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</si>
  <si>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</si>
  <si>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</si>
  <si>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</si>
  <si>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</si>
  <si>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</si>
  <si>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</si>
  <si>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</si>
  <si>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</si>
  <si>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</si>
  <si>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</si>
  <si>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</si>
  <si>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</si>
  <si>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</si>
  <si>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</si>
  <si>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</si>
  <si>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</si>
  <si>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</si>
  <si>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</si>
  <si>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</si>
  <si>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</si>
  <si>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</si>
  <si>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</si>
  <si>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</si>
  <si>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</si>
  <si>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</si>
  <si>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</si>
  <si>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</si>
  <si>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</si>
  <si>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</si>
  <si>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</si>
  <si>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</si>
  <si>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</si>
  <si>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</si>
  <si>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</si>
  <si>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</si>
  <si>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</si>
  <si>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</si>
  <si>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</si>
  <si>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</si>
  <si>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</si>
  <si>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</si>
  <si>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</si>
  <si>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</si>
  <si>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</si>
  <si>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</si>
  <si>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</si>
  <si>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</si>
  <si>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</si>
  <si>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</si>
  <si>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Custom supplier</t>
  </si>
  <si>
    <t>Connector</t>
  </si>
  <si>
    <t>HDR1X5 SMD</t>
  </si>
  <si>
    <t>PH254P1x12SMRA-100</t>
  </si>
  <si>
    <t>RTLECS</t>
  </si>
  <si>
    <t>Aliexpress</t>
  </si>
  <si>
    <t>J3</t>
  </si>
  <si>
    <t>Solder Bridge ON</t>
  </si>
  <si>
    <t>SB1, SB4, SB5, SB6, SB7</t>
  </si>
  <si>
    <t>Solder Bridge</t>
  </si>
  <si>
    <t>Test Point ON</t>
  </si>
  <si>
    <t>P1,P5,P6</t>
  </si>
  <si>
    <t>TEST POINT</t>
  </si>
  <si>
    <t xml:space="preserve">Total Component Cost </t>
  </si>
  <si>
    <t>Single Board Cost</t>
  </si>
  <si>
    <t>C2, C4, C6, C7, C8, C9, C10, C11, C12, C13, C14, C15, C16, C20, C21, C22, C23, C24, C25, C30, C31, C34, C35, C41</t>
  </si>
  <si>
    <t>-----------</t>
  </si>
  <si>
    <t>--------</t>
  </si>
  <si>
    <t>----</t>
  </si>
  <si>
    <t>-------</t>
  </si>
  <si>
    <t>Bill of Material (BOM) for Controller Board</t>
  </si>
  <si>
    <t xml:space="preserve">128-TQFP (14x14)
</t>
  </si>
  <si>
    <t xml:space="preserve">Microchip </t>
  </si>
  <si>
    <t>----------</t>
  </si>
  <si>
    <t>5 POS 2.54mm Pin Header Male single row Right Angle SMD</t>
  </si>
  <si>
    <t>6 POS 2.54mm Pin Header Male single row Right Angle SMD</t>
  </si>
  <si>
    <t>J1</t>
  </si>
  <si>
    <t>HDR1X6 SMD</t>
  </si>
  <si>
    <t>J2</t>
  </si>
  <si>
    <t>PH254P1x12SMRA-100_1</t>
  </si>
  <si>
    <t>Aker Technology</t>
  </si>
  <si>
    <t xml:space="preserve">CONN HEADER SMD 26POS 2.54MM
</t>
  </si>
  <si>
    <t xml:space="preserve">95278-101A26LF
</t>
  </si>
  <si>
    <t xml:space="preserve">Amphenol </t>
  </si>
  <si>
    <t>Quantity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</si>
</sst>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16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u/>
      <sz val="10"/>
      <color rgb="FF0000FF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9" fillId="7" borderId="11" xfId="0" quotePrefix="1" applyFont="1" applyFill="1" applyBorder="1" applyAlignment="1">
      <alignment horizontal="center" vertical="center"/>
    </xf>
    <xf numFmtId="0" fontId="10" fillId="0" borderId="8" xfId="0" quotePrefix="1" applyFont="1" applyFill="1" applyBorder="1" applyAlignment="1">
      <alignment horizontal="center" vertical="center"/>
    </xf>
    <xf numFmtId="0" fontId="10" fillId="0" borderId="11" xfId="0" quotePrefix="1" applyFont="1" applyFill="1" applyBorder="1" applyAlignment="1">
      <alignment horizontal="center" vertical="center"/>
    </xf>
    <xf numFmtId="0" fontId="12" fillId="4" borderId="11" xfId="0" quotePrefix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12" fillId="4" borderId="18" xfId="0" quotePrefix="1" applyFont="1" applyFill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9" fillId="7" borderId="14" xfId="0" quotePrefix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left" vertical="center"/>
    </xf>
    <xf numFmtId="0" fontId="12" fillId="0" borderId="8" xfId="0" quotePrefix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quotePrefix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0" fontId="10" fillId="0" borderId="10" xfId="0" quotePrefix="1" applyFont="1" applyFill="1" applyBorder="1" applyAlignment="1">
      <alignment horizontal="left" vertical="center"/>
    </xf>
    <xf numFmtId="0" fontId="12" fillId="0" borderId="11" xfId="0" quotePrefix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64" fontId="13" fillId="0" borderId="11" xfId="1" applyNumberFormat="1" applyFont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center" vertical="center"/>
    </xf>
    <xf numFmtId="0" fontId="10" fillId="0" borderId="13" xfId="0" quotePrefix="1" applyFont="1" applyFill="1" applyBorder="1" applyAlignment="1">
      <alignment horizontal="left" vertical="center"/>
    </xf>
    <xf numFmtId="0" fontId="10" fillId="0" borderId="14" xfId="0" quotePrefix="1" applyFont="1" applyFill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0" fontId="10" fillId="0" borderId="21" xfId="0" quotePrefix="1" applyFont="1" applyFill="1" applyBorder="1" applyAlignment="1">
      <alignment horizontal="left" vertical="center"/>
    </xf>
    <xf numFmtId="0" fontId="10" fillId="0" borderId="18" xfId="0" quotePrefix="1" applyFont="1" applyFill="1" applyBorder="1" applyAlignment="1">
      <alignment horizontal="center" vertical="center"/>
    </xf>
    <xf numFmtId="0" fontId="12" fillId="0" borderId="18" xfId="0" quotePrefix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3" fillId="0" borderId="18" xfId="1" quotePrefix="1" applyFont="1" applyBorder="1" applyAlignment="1">
      <alignment horizontal="center" vertical="center"/>
    </xf>
    <xf numFmtId="0" fontId="10" fillId="4" borderId="8" xfId="0" quotePrefix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4" borderId="11" xfId="1" quotePrefix="1" applyFont="1" applyFill="1" applyBorder="1" applyAlignment="1">
      <alignment horizontal="center" vertical="center"/>
    </xf>
    <xf numFmtId="0" fontId="10" fillId="4" borderId="21" xfId="0" quotePrefix="1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center" vertical="center"/>
    </xf>
    <xf numFmtId="0" fontId="10" fillId="4" borderId="10" xfId="0" quotePrefix="1" applyFont="1" applyFill="1" applyBorder="1" applyAlignment="1">
      <alignment horizontal="left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/>
    </xf>
    <xf numFmtId="0" fontId="10" fillId="6" borderId="7" xfId="0" quotePrefix="1" applyFont="1" applyFill="1" applyBorder="1" applyAlignment="1">
      <alignment horizontal="left" vertical="center"/>
    </xf>
    <xf numFmtId="0" fontId="10" fillId="6" borderId="8" xfId="0" quotePrefix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8" xfId="0" quotePrefix="1" applyFont="1" applyFill="1" applyBorder="1" applyAlignment="1">
      <alignment horizontal="center" vertical="center"/>
    </xf>
    <xf numFmtId="0" fontId="13" fillId="6" borderId="8" xfId="1" quotePrefix="1" applyFont="1" applyFill="1" applyBorder="1" applyAlignment="1">
      <alignment horizontal="center" vertical="center"/>
    </xf>
    <xf numFmtId="0" fontId="10" fillId="6" borderId="11" xfId="0" quotePrefix="1" applyFont="1" applyFill="1" applyBorder="1" applyAlignment="1">
      <alignment horizontal="center" vertical="center"/>
    </xf>
    <xf numFmtId="0" fontId="12" fillId="6" borderId="11" xfId="0" quotePrefix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3" fillId="6" borderId="11" xfId="1" quotePrefix="1" applyFont="1" applyFill="1" applyBorder="1" applyAlignment="1">
      <alignment horizontal="center" vertical="center"/>
    </xf>
    <xf numFmtId="0" fontId="10" fillId="6" borderId="14" xfId="0" quotePrefix="1" applyFont="1" applyFill="1" applyBorder="1" applyAlignment="1">
      <alignment horizontal="center" vertical="center"/>
    </xf>
    <xf numFmtId="0" fontId="12" fillId="6" borderId="14" xfId="0" quotePrefix="1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3" fillId="6" borderId="14" xfId="1" quotePrefix="1" applyFont="1" applyFill="1" applyBorder="1" applyAlignment="1">
      <alignment horizontal="center" vertical="center"/>
    </xf>
    <xf numFmtId="0" fontId="10" fillId="6" borderId="17" xfId="0" quotePrefix="1" applyFont="1" applyFill="1" applyBorder="1" applyAlignment="1">
      <alignment horizontal="center" vertical="center"/>
    </xf>
    <xf numFmtId="0" fontId="10" fillId="6" borderId="10" xfId="0" quotePrefix="1" applyFont="1" applyFill="1" applyBorder="1" applyAlignment="1">
      <alignment horizontal="left" vertical="center"/>
    </xf>
    <xf numFmtId="0" fontId="10" fillId="6" borderId="13" xfId="0" quotePrefix="1" applyFont="1" applyFill="1" applyBorder="1" applyAlignment="1">
      <alignment horizontal="left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9" xfId="0" quotePrefix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13" fillId="6" borderId="23" xfId="1" quotePrefix="1" applyFont="1" applyFill="1" applyBorder="1" applyAlignment="1">
      <alignment horizontal="center" vertical="center"/>
    </xf>
    <xf numFmtId="0" fontId="13" fillId="6" borderId="17" xfId="1" quotePrefix="1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JR-07330RL_C105879.html" TargetMode="External"/><Relationship Id="rId13" Type="http://schemas.openxmlformats.org/officeDocument/2006/relationships/hyperlink" Target="https://www.lcsc.com/product-detail/EEPROM_onsemi-CAT24C256WI-GT3_C79987.html" TargetMode="External"/><Relationship Id="rId18" Type="http://schemas.openxmlformats.org/officeDocument/2006/relationships/hyperlink" Target="https://www.aliexpress.com/item/4000809540773.html?spm=a2g0o.productlist.0.0.6de246c1bZT6MX&amp;algo_pvid=8f5ac8e0-d326-4065-a967-4d43ba16ccd8&amp;algo_exp_id=8f5ac8e0-d326-4065-a967-4d43ba16ccd8-5&amp;pdp_ext_f=%7B%22sku_id%22%3A%2210000008107183129%22%7D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Relationship Id="rId21" Type="http://schemas.openxmlformats.org/officeDocument/2006/relationships/hyperlink" Target="https://www.aliexpress.com/item/32724713249.html" TargetMode="External"/><Relationship Id="rId7" Type="http://schemas.openxmlformats.org/officeDocument/2006/relationships/hyperlink" Target="https://www.lcsc.com/product-detail/Chip-Resistor-Surface-Mount_YAGEO-AC0603JR-0710KL_C140867.html" TargetMode="External"/><Relationship Id="rId1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7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aliexpress.com/item/33051187576.html?spm=a2g0o.productlist.0.0.4f684477Oj2GOj&amp;algo_pvid=5b48aa7c-c07c-4917-9349-3704e8d05a03&amp;algo_exp_id=5b48aa7c-c07c-4917-9349-3704e8d05a03-5&amp;pdp_ext_f=%7B%22sku_id%22%3A%2267477268699%22%7D" TargetMode="External"/><Relationship Id="rId20" Type="http://schemas.openxmlformats.org/officeDocument/2006/relationships/hyperlink" Target="https://lcsc.com/product-detail/Chip-Resistor-Surface-Mount_YAGEO-RC0603FR-07470RL_C114669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Inductors-SMD_microgate-MGFL2012F100MT-LF_C281113.html" TargetMode="External"/><Relationship Id="rId11" Type="http://schemas.openxmlformats.org/officeDocument/2006/relationships/hyperlink" Target="https://www.lcsc.com/product-detail/Chip-Resistor-Surface-Mount_YAGEO-RT0603CRD0712K1L_C705893.html" TargetMode="External"/><Relationship Id="rId5" Type="http://schemas.openxmlformats.org/officeDocument/2006/relationships/hyperlink" Target="https://www.lcsc.com/product-detail/Ferrite-Beads_Meled-MLB1608-201P1A-f_C45316.html" TargetMode="External"/><Relationship Id="rId15" Type="http://schemas.openxmlformats.org/officeDocument/2006/relationships/hyperlink" Target="https://www.lcsc.com/product-detail/Multilayer-Ceramic-Capacitors-MLCC-SMD-SMT_YAGEO-CC0603JRNPO9BN100_C106245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lcsc.com/product-detail/Chip-Resistor-Surface-Mount_YAGEO-RC0603FR-07100RL_C105588.html" TargetMode="External"/><Relationship Id="rId4" Type="http://schemas.openxmlformats.org/officeDocument/2006/relationships/hyperlink" Target="https://www.lcsc.com/product-detail/Light-Emitting-Diodes-LED_Everlight-Elec-16-213-GHC-YR1S1-3T_C74338.html" TargetMode="External"/><Relationship Id="rId9" Type="http://schemas.openxmlformats.org/officeDocument/2006/relationships/hyperlink" Target="https://www.lcsc.com/product-detail/Chip-Resistor-Surface-Mount_YAGEO-RC0603FR-0733RL_C108661.html" TargetMode="External"/><Relationship Id="rId14" Type="http://schemas.openxmlformats.org/officeDocument/2006/relationships/hyperlink" Target="https://www.lcsc.com/product-detail/Multilayer-Ceramic-Capacitors-MLCC-SMD-SMT_TDK-C1608X5R1E475KT000E_C76615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K5" sqref="K5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" customWidth="1"/>
    <col min="4" max="4" width="33.140625" style="1" customWidth="1"/>
    <col min="5" max="5" width="21" style="1" customWidth="1"/>
    <col min="6" max="6" width="33.5703125" style="1" bestFit="1" customWidth="1"/>
    <col min="7" max="7" width="14.7109375" style="1" bestFit="1" customWidth="1"/>
    <col min="8" max="8" width="14.42578125" style="2" customWidth="1"/>
    <col min="9" max="9" width="19.85546875" style="1" bestFit="1" customWidth="1"/>
    <col min="10" max="10" width="6.42578125" style="1" bestFit="1" customWidth="1"/>
    <col min="11" max="11" width="11.5703125" style="1" customWidth="1"/>
    <col min="12" max="12" width="21.85546875" style="1" customWidth="1"/>
    <col min="13" max="13" width="14.140625" style="1" customWidth="1"/>
    <col min="14" max="14" width="13.7109375" style="1" bestFit="1" customWidth="1"/>
    <col min="15" max="16384" width="9" style="1"/>
  </cols>
  <sheetData>
    <row r="1" spans="1:15" ht="16.5" thickBot="1">
      <c r="A1" s="96" t="s">
        <v>161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5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175</v>
      </c>
      <c r="N2" s="12" t="s">
        <v>12</v>
      </c>
    </row>
    <row r="3" spans="1:15" ht="15.75" thickBot="1">
      <c r="A3" s="6">
        <v>1</v>
      </c>
      <c r="B3" s="100" t="s">
        <v>13</v>
      </c>
      <c r="C3" s="25" t="s">
        <v>14</v>
      </c>
      <c r="D3" s="52" t="s">
        <v>15</v>
      </c>
      <c r="E3" s="18" t="s">
        <v>16</v>
      </c>
      <c r="F3" s="18" t="s">
        <v>17</v>
      </c>
      <c r="G3" s="26" t="s">
        <v>18</v>
      </c>
      <c r="H3" s="27" t="s">
        <v>19</v>
      </c>
      <c r="I3" s="28" t="s">
        <v>20</v>
      </c>
      <c r="J3" s="18" t="s">
        <v>21</v>
      </c>
      <c r="K3" s="29">
        <v>25</v>
      </c>
      <c r="L3" s="29">
        <v>4</v>
      </c>
      <c r="M3" s="29">
        <f>L3*6</f>
        <v>24</v>
      </c>
      <c r="N3" s="30" t="s">
        <v>22</v>
      </c>
    </row>
    <row r="4" spans="1:15" ht="39" thickBot="1">
      <c r="A4" s="6">
        <v>2</v>
      </c>
      <c r="B4" s="101"/>
      <c r="C4" s="31" t="s">
        <v>23</v>
      </c>
      <c r="D4" s="68" t="s">
        <v>156</v>
      </c>
      <c r="E4" s="19" t="s">
        <v>24</v>
      </c>
      <c r="F4" s="19" t="s">
        <v>25</v>
      </c>
      <c r="G4" s="32" t="s">
        <v>26</v>
      </c>
      <c r="H4" s="33" t="s">
        <v>27</v>
      </c>
      <c r="I4" s="20" t="s">
        <v>20</v>
      </c>
      <c r="J4" s="19" t="s">
        <v>28</v>
      </c>
      <c r="K4" s="34">
        <v>150</v>
      </c>
      <c r="L4" s="34">
        <v>24</v>
      </c>
      <c r="M4" s="29">
        <f t="shared" ref="M4:M29" si="0">L4*6</f>
        <v>144</v>
      </c>
      <c r="N4" s="35" t="s">
        <v>22</v>
      </c>
    </row>
    <row r="5" spans="1:15" ht="15.75" thickBot="1">
      <c r="A5" s="6">
        <v>3</v>
      </c>
      <c r="B5" s="101"/>
      <c r="C5" s="31" t="s">
        <v>29</v>
      </c>
      <c r="D5" s="36" t="s">
        <v>30</v>
      </c>
      <c r="E5" s="19" t="s">
        <v>16</v>
      </c>
      <c r="F5" s="14" t="s">
        <v>31</v>
      </c>
      <c r="G5" s="32" t="s">
        <v>18</v>
      </c>
      <c r="H5" s="33" t="s">
        <v>32</v>
      </c>
      <c r="I5" s="36" t="s">
        <v>33</v>
      </c>
      <c r="J5" s="19" t="s">
        <v>34</v>
      </c>
      <c r="K5" s="34">
        <v>10</v>
      </c>
      <c r="L5" s="34">
        <v>1</v>
      </c>
      <c r="M5" s="29">
        <f t="shared" si="0"/>
        <v>6</v>
      </c>
      <c r="N5" s="35" t="s">
        <v>22</v>
      </c>
      <c r="O5" s="13"/>
    </row>
    <row r="6" spans="1:15" ht="15.75" thickBot="1">
      <c r="A6" s="6">
        <v>4</v>
      </c>
      <c r="B6" s="101"/>
      <c r="C6" s="31" t="s">
        <v>35</v>
      </c>
      <c r="D6" s="36" t="s">
        <v>36</v>
      </c>
      <c r="E6" s="19" t="s">
        <v>24</v>
      </c>
      <c r="F6" s="14" t="s">
        <v>37</v>
      </c>
      <c r="G6" s="32" t="s">
        <v>38</v>
      </c>
      <c r="H6" s="33" t="s">
        <v>39</v>
      </c>
      <c r="I6" s="36" t="s">
        <v>40</v>
      </c>
      <c r="J6" s="19" t="s">
        <v>41</v>
      </c>
      <c r="K6" s="34">
        <v>20</v>
      </c>
      <c r="L6" s="34">
        <v>3</v>
      </c>
      <c r="M6" s="29">
        <f t="shared" si="0"/>
        <v>18</v>
      </c>
      <c r="N6" s="16" t="s">
        <v>22</v>
      </c>
      <c r="O6" s="13"/>
    </row>
    <row r="7" spans="1:15" ht="15.75" thickBot="1">
      <c r="A7" s="6">
        <v>5</v>
      </c>
      <c r="B7" s="102"/>
      <c r="C7" s="37" t="s">
        <v>42</v>
      </c>
      <c r="D7" s="41" t="s">
        <v>43</v>
      </c>
      <c r="E7" s="38" t="s">
        <v>24</v>
      </c>
      <c r="F7" s="15" t="s">
        <v>44</v>
      </c>
      <c r="G7" s="39" t="s">
        <v>45</v>
      </c>
      <c r="H7" s="40" t="s">
        <v>46</v>
      </c>
      <c r="I7" s="41" t="s">
        <v>47</v>
      </c>
      <c r="J7" s="38" t="s">
        <v>48</v>
      </c>
      <c r="K7" s="42">
        <v>100</v>
      </c>
      <c r="L7" s="42">
        <v>4</v>
      </c>
      <c r="M7" s="29">
        <f t="shared" si="0"/>
        <v>24</v>
      </c>
      <c r="N7" s="43" t="s">
        <v>22</v>
      </c>
      <c r="O7" s="13"/>
    </row>
    <row r="8" spans="1:15" ht="15.75" thickBot="1">
      <c r="A8" s="6">
        <v>6</v>
      </c>
      <c r="B8" s="21" t="s">
        <v>49</v>
      </c>
      <c r="C8" s="44" t="s">
        <v>50</v>
      </c>
      <c r="D8" s="48" t="s">
        <v>51</v>
      </c>
      <c r="E8" s="45" t="s">
        <v>52</v>
      </c>
      <c r="F8" s="45" t="s">
        <v>53</v>
      </c>
      <c r="G8" s="46" t="s">
        <v>54</v>
      </c>
      <c r="H8" s="47" t="s">
        <v>55</v>
      </c>
      <c r="I8" s="48" t="s">
        <v>20</v>
      </c>
      <c r="J8" s="46" t="s">
        <v>56</v>
      </c>
      <c r="K8" s="49">
        <v>20</v>
      </c>
      <c r="L8" s="50">
        <v>3</v>
      </c>
      <c r="M8" s="29">
        <f t="shared" si="0"/>
        <v>18</v>
      </c>
      <c r="N8" s="51" t="s">
        <v>22</v>
      </c>
      <c r="O8" s="13"/>
    </row>
    <row r="9" spans="1:15" ht="15.75" thickBot="1">
      <c r="A9" s="6">
        <v>7</v>
      </c>
      <c r="B9" s="100" t="s">
        <v>57</v>
      </c>
      <c r="C9" s="25" t="s">
        <v>58</v>
      </c>
      <c r="D9" s="52" t="s">
        <v>59</v>
      </c>
      <c r="E9" s="18" t="s">
        <v>60</v>
      </c>
      <c r="F9" s="18" t="s">
        <v>61</v>
      </c>
      <c r="G9" s="26" t="s">
        <v>62</v>
      </c>
      <c r="H9" s="27" t="s">
        <v>63</v>
      </c>
      <c r="I9" s="52" t="s">
        <v>20</v>
      </c>
      <c r="J9" s="26" t="s">
        <v>56</v>
      </c>
      <c r="K9" s="53">
        <v>50</v>
      </c>
      <c r="L9" s="29">
        <v>5</v>
      </c>
      <c r="M9" s="29">
        <f t="shared" si="0"/>
        <v>30</v>
      </c>
      <c r="N9" s="30" t="s">
        <v>22</v>
      </c>
      <c r="O9" s="13"/>
    </row>
    <row r="10" spans="1:15" ht="15.75" thickBot="1">
      <c r="A10" s="6">
        <v>8</v>
      </c>
      <c r="B10" s="102"/>
      <c r="C10" s="37" t="s">
        <v>64</v>
      </c>
      <c r="D10" s="41" t="s">
        <v>65</v>
      </c>
      <c r="E10" s="38" t="s">
        <v>66</v>
      </c>
      <c r="F10" s="38" t="s">
        <v>67</v>
      </c>
      <c r="G10" s="39" t="s">
        <v>68</v>
      </c>
      <c r="H10" s="40" t="s">
        <v>69</v>
      </c>
      <c r="I10" s="41" t="s">
        <v>20</v>
      </c>
      <c r="J10" s="39" t="s">
        <v>56</v>
      </c>
      <c r="K10" s="54">
        <v>10</v>
      </c>
      <c r="L10" s="42">
        <v>1</v>
      </c>
      <c r="M10" s="29">
        <f t="shared" si="0"/>
        <v>6</v>
      </c>
      <c r="N10" s="55" t="s">
        <v>22</v>
      </c>
      <c r="O10" s="13"/>
    </row>
    <row r="11" spans="1:15" ht="26.25" thickBot="1">
      <c r="A11" s="6">
        <v>9</v>
      </c>
      <c r="B11" s="100" t="s">
        <v>70</v>
      </c>
      <c r="C11" s="25" t="s">
        <v>71</v>
      </c>
      <c r="D11" s="69" t="s">
        <v>72</v>
      </c>
      <c r="E11" s="18" t="s">
        <v>73</v>
      </c>
      <c r="F11" s="18" t="s">
        <v>74</v>
      </c>
      <c r="G11" s="26" t="s">
        <v>26</v>
      </c>
      <c r="H11" s="27" t="s">
        <v>75</v>
      </c>
      <c r="I11" s="52" t="s">
        <v>20</v>
      </c>
      <c r="J11" s="18" t="s">
        <v>76</v>
      </c>
      <c r="K11" s="56">
        <v>100</v>
      </c>
      <c r="L11" s="29">
        <v>12</v>
      </c>
      <c r="M11" s="29">
        <f t="shared" si="0"/>
        <v>72</v>
      </c>
      <c r="N11" s="23" t="s">
        <v>22</v>
      </c>
      <c r="O11" s="13"/>
    </row>
    <row r="12" spans="1:15" ht="15.75" thickBot="1">
      <c r="A12" s="6">
        <v>10</v>
      </c>
      <c r="B12" s="101"/>
      <c r="C12" s="31" t="s">
        <v>77</v>
      </c>
      <c r="D12" s="36" t="s">
        <v>78</v>
      </c>
      <c r="E12" s="19" t="s">
        <v>73</v>
      </c>
      <c r="F12" s="19" t="s">
        <v>79</v>
      </c>
      <c r="G12" s="32" t="s">
        <v>26</v>
      </c>
      <c r="H12" s="33" t="s">
        <v>80</v>
      </c>
      <c r="I12" s="36" t="s">
        <v>20</v>
      </c>
      <c r="J12" s="19" t="s">
        <v>81</v>
      </c>
      <c r="K12" s="57">
        <v>100</v>
      </c>
      <c r="L12" s="34">
        <v>3</v>
      </c>
      <c r="M12" s="29">
        <f t="shared" si="0"/>
        <v>18</v>
      </c>
      <c r="N12" s="16" t="s">
        <v>22</v>
      </c>
      <c r="O12" s="13"/>
    </row>
    <row r="13" spans="1:15" ht="15.75" thickBot="1">
      <c r="A13" s="6">
        <v>11</v>
      </c>
      <c r="B13" s="101"/>
      <c r="C13" s="31" t="s">
        <v>82</v>
      </c>
      <c r="D13" s="36" t="s">
        <v>83</v>
      </c>
      <c r="E13" s="19" t="s">
        <v>73</v>
      </c>
      <c r="F13" s="19" t="s">
        <v>84</v>
      </c>
      <c r="G13" s="32" t="s">
        <v>26</v>
      </c>
      <c r="H13" s="33" t="s">
        <v>85</v>
      </c>
      <c r="I13" s="36" t="s">
        <v>20</v>
      </c>
      <c r="J13" s="19" t="s">
        <v>86</v>
      </c>
      <c r="K13" s="57">
        <v>100</v>
      </c>
      <c r="L13" s="34">
        <v>1</v>
      </c>
      <c r="M13" s="29">
        <f t="shared" si="0"/>
        <v>6</v>
      </c>
      <c r="N13" s="58" t="s">
        <v>22</v>
      </c>
      <c r="O13" s="13"/>
    </row>
    <row r="14" spans="1:15" ht="15.75" thickBot="1">
      <c r="A14" s="6">
        <v>12</v>
      </c>
      <c r="B14" s="101"/>
      <c r="C14" s="31" t="s">
        <v>87</v>
      </c>
      <c r="D14" s="36" t="s">
        <v>88</v>
      </c>
      <c r="E14" s="19" t="s">
        <v>73</v>
      </c>
      <c r="F14" s="19" t="s">
        <v>89</v>
      </c>
      <c r="G14" s="32" t="s">
        <v>26</v>
      </c>
      <c r="H14" s="33" t="s">
        <v>90</v>
      </c>
      <c r="I14" s="36" t="s">
        <v>20</v>
      </c>
      <c r="J14" s="19" t="s">
        <v>91</v>
      </c>
      <c r="K14" s="57">
        <v>100</v>
      </c>
      <c r="L14" s="34">
        <v>4</v>
      </c>
      <c r="M14" s="29">
        <f t="shared" si="0"/>
        <v>24</v>
      </c>
      <c r="N14" s="16" t="s">
        <v>22</v>
      </c>
      <c r="O14" s="13"/>
    </row>
    <row r="15" spans="1:15" ht="15.75" thickBot="1">
      <c r="A15" s="6">
        <v>13</v>
      </c>
      <c r="B15" s="103"/>
      <c r="C15" s="70" t="s">
        <v>92</v>
      </c>
      <c r="D15" s="68" t="s">
        <v>93</v>
      </c>
      <c r="E15" s="71" t="s">
        <v>73</v>
      </c>
      <c r="F15" s="71" t="s">
        <v>94</v>
      </c>
      <c r="G15" s="32" t="s">
        <v>26</v>
      </c>
      <c r="H15" s="33" t="s">
        <v>95</v>
      </c>
      <c r="I15" s="36" t="s">
        <v>20</v>
      </c>
      <c r="J15" s="71" t="s">
        <v>96</v>
      </c>
      <c r="K15" s="57">
        <v>100</v>
      </c>
      <c r="L15" s="71">
        <v>2</v>
      </c>
      <c r="M15" s="29">
        <f t="shared" si="0"/>
        <v>12</v>
      </c>
      <c r="N15" s="72" t="s">
        <v>22</v>
      </c>
      <c r="O15" s="13"/>
    </row>
    <row r="16" spans="1:15" ht="15.75" thickBot="1">
      <c r="A16" s="6">
        <v>14</v>
      </c>
      <c r="B16" s="103"/>
      <c r="C16" s="70" t="s">
        <v>97</v>
      </c>
      <c r="D16" s="68" t="s">
        <v>98</v>
      </c>
      <c r="E16" s="71" t="s">
        <v>73</v>
      </c>
      <c r="F16" s="71" t="s">
        <v>99</v>
      </c>
      <c r="G16" s="32" t="s">
        <v>26</v>
      </c>
      <c r="H16" s="33" t="s">
        <v>100</v>
      </c>
      <c r="I16" s="36" t="s">
        <v>20</v>
      </c>
      <c r="J16" s="71" t="s">
        <v>101</v>
      </c>
      <c r="K16" s="57">
        <v>100</v>
      </c>
      <c r="L16" s="71">
        <v>1</v>
      </c>
      <c r="M16" s="29">
        <f t="shared" si="0"/>
        <v>6</v>
      </c>
      <c r="N16" s="72" t="s">
        <v>22</v>
      </c>
      <c r="O16" s="13"/>
    </row>
    <row r="17" spans="1:15" ht="15.75" thickBot="1">
      <c r="A17" s="6">
        <v>15</v>
      </c>
      <c r="B17" s="102"/>
      <c r="C17" s="37" t="s">
        <v>102</v>
      </c>
      <c r="D17" s="41" t="s">
        <v>103</v>
      </c>
      <c r="E17" s="38" t="s">
        <v>73</v>
      </c>
      <c r="F17" s="38" t="s">
        <v>104</v>
      </c>
      <c r="G17" s="39" t="s">
        <v>105</v>
      </c>
      <c r="H17" s="40" t="s">
        <v>106</v>
      </c>
      <c r="I17" s="41" t="s">
        <v>20</v>
      </c>
      <c r="J17" s="38" t="s">
        <v>107</v>
      </c>
      <c r="K17" s="42">
        <v>100</v>
      </c>
      <c r="L17" s="42">
        <v>1</v>
      </c>
      <c r="M17" s="29">
        <f t="shared" si="0"/>
        <v>6</v>
      </c>
      <c r="N17" s="43" t="s">
        <v>22</v>
      </c>
      <c r="O17" s="13"/>
    </row>
    <row r="18" spans="1:15" ht="15.75" thickBot="1">
      <c r="A18" s="6">
        <v>16</v>
      </c>
      <c r="B18" s="21" t="s">
        <v>108</v>
      </c>
      <c r="C18" s="59" t="s">
        <v>109</v>
      </c>
      <c r="D18" s="48" t="s">
        <v>110</v>
      </c>
      <c r="E18" s="48" t="s">
        <v>111</v>
      </c>
      <c r="F18" s="48" t="s">
        <v>112</v>
      </c>
      <c r="G18" s="22" t="s">
        <v>113</v>
      </c>
      <c r="H18" s="22" t="s">
        <v>20</v>
      </c>
      <c r="I18" s="48" t="s">
        <v>20</v>
      </c>
      <c r="J18" s="22" t="s">
        <v>56</v>
      </c>
      <c r="K18" s="60">
        <v>10</v>
      </c>
      <c r="L18" s="50">
        <v>1</v>
      </c>
      <c r="M18" s="29">
        <f t="shared" si="0"/>
        <v>6</v>
      </c>
      <c r="N18" s="51" t="s">
        <v>22</v>
      </c>
      <c r="O18" s="13"/>
    </row>
    <row r="19" spans="1:15" ht="15.75" thickBot="1">
      <c r="A19" s="6">
        <v>17</v>
      </c>
      <c r="B19" s="100" t="s">
        <v>114</v>
      </c>
      <c r="C19" s="73" t="s">
        <v>115</v>
      </c>
      <c r="D19" s="74" t="s">
        <v>116</v>
      </c>
      <c r="E19" s="75" t="s">
        <v>162</v>
      </c>
      <c r="F19" s="74" t="s">
        <v>117</v>
      </c>
      <c r="G19" s="77" t="s">
        <v>163</v>
      </c>
      <c r="H19" s="78" t="s">
        <v>158</v>
      </c>
      <c r="I19" s="78" t="s">
        <v>164</v>
      </c>
      <c r="J19" s="78" t="s">
        <v>56</v>
      </c>
      <c r="K19" s="77">
        <v>5</v>
      </c>
      <c r="L19" s="75">
        <v>1</v>
      </c>
      <c r="M19" s="29">
        <f t="shared" si="0"/>
        <v>6</v>
      </c>
      <c r="N19" s="79" t="s">
        <v>141</v>
      </c>
      <c r="O19" s="13"/>
    </row>
    <row r="20" spans="1:15" ht="15.75" thickBot="1">
      <c r="A20" s="6">
        <v>18</v>
      </c>
      <c r="B20" s="101"/>
      <c r="C20" s="61" t="s">
        <v>118</v>
      </c>
      <c r="D20" s="36" t="s">
        <v>119</v>
      </c>
      <c r="E20" s="36" t="s">
        <v>120</v>
      </c>
      <c r="F20" s="36" t="s">
        <v>121</v>
      </c>
      <c r="G20" s="20" t="s">
        <v>122</v>
      </c>
      <c r="H20" s="33" t="s">
        <v>123</v>
      </c>
      <c r="I20" s="36" t="s">
        <v>20</v>
      </c>
      <c r="J20" s="20" t="s">
        <v>56</v>
      </c>
      <c r="K20" s="33">
        <v>6</v>
      </c>
      <c r="L20" s="34">
        <v>1</v>
      </c>
      <c r="M20" s="29">
        <f t="shared" si="0"/>
        <v>6</v>
      </c>
      <c r="N20" s="16" t="s">
        <v>22</v>
      </c>
      <c r="O20" s="13"/>
    </row>
    <row r="21" spans="1:15" ht="15.75" thickBot="1">
      <c r="A21" s="6">
        <v>19</v>
      </c>
      <c r="B21" s="101"/>
      <c r="C21" s="91" t="s">
        <v>124</v>
      </c>
      <c r="D21" s="80" t="s">
        <v>125</v>
      </c>
      <c r="E21" s="80" t="s">
        <v>120</v>
      </c>
      <c r="F21" s="80" t="s">
        <v>126</v>
      </c>
      <c r="G21" s="81" t="s">
        <v>127</v>
      </c>
      <c r="H21" s="81" t="s">
        <v>20</v>
      </c>
      <c r="I21" s="80" t="s">
        <v>20</v>
      </c>
      <c r="J21" s="81" t="s">
        <v>56</v>
      </c>
      <c r="K21" s="82">
        <v>10</v>
      </c>
      <c r="L21" s="83">
        <v>1</v>
      </c>
      <c r="M21" s="29">
        <f t="shared" si="0"/>
        <v>6</v>
      </c>
      <c r="N21" s="84" t="s">
        <v>146</v>
      </c>
      <c r="O21" s="13"/>
    </row>
    <row r="22" spans="1:15" ht="15.75" thickBot="1">
      <c r="A22" s="6">
        <v>20</v>
      </c>
      <c r="B22" s="102"/>
      <c r="C22" s="92" t="s">
        <v>128</v>
      </c>
      <c r="D22" s="85" t="s">
        <v>129</v>
      </c>
      <c r="E22" s="85" t="s">
        <v>130</v>
      </c>
      <c r="F22" s="85" t="s">
        <v>131</v>
      </c>
      <c r="G22" s="85" t="s">
        <v>132</v>
      </c>
      <c r="H22" s="85" t="s">
        <v>133</v>
      </c>
      <c r="I22" s="85" t="s">
        <v>20</v>
      </c>
      <c r="J22" s="86" t="s">
        <v>56</v>
      </c>
      <c r="K22" s="87">
        <v>10</v>
      </c>
      <c r="L22" s="88">
        <v>1</v>
      </c>
      <c r="M22" s="29">
        <f t="shared" si="0"/>
        <v>6</v>
      </c>
      <c r="N22" s="89" t="s">
        <v>146</v>
      </c>
      <c r="O22" s="13"/>
    </row>
    <row r="23" spans="1:15" ht="15.75" thickBot="1">
      <c r="A23" s="6">
        <v>21</v>
      </c>
      <c r="B23" s="100" t="s">
        <v>134</v>
      </c>
      <c r="C23" s="73" t="s">
        <v>135</v>
      </c>
      <c r="D23" s="74" t="s">
        <v>136</v>
      </c>
      <c r="E23" s="74" t="s">
        <v>111</v>
      </c>
      <c r="F23" s="74" t="s">
        <v>137</v>
      </c>
      <c r="G23" s="75" t="s">
        <v>171</v>
      </c>
      <c r="H23" s="76"/>
      <c r="I23" s="77"/>
      <c r="J23" s="77"/>
      <c r="K23" s="77"/>
      <c r="L23" s="75">
        <v>1</v>
      </c>
      <c r="M23" s="29">
        <f t="shared" si="0"/>
        <v>6</v>
      </c>
      <c r="N23" s="23"/>
      <c r="O23" s="13"/>
    </row>
    <row r="24" spans="1:15" ht="15.75" thickBot="1">
      <c r="A24" s="6">
        <v>22</v>
      </c>
      <c r="B24" s="102"/>
      <c r="C24" s="92" t="s">
        <v>138</v>
      </c>
      <c r="D24" s="85" t="s">
        <v>139</v>
      </c>
      <c r="E24" s="85" t="s">
        <v>111</v>
      </c>
      <c r="F24" s="85" t="s">
        <v>140</v>
      </c>
      <c r="G24" s="85" t="s">
        <v>158</v>
      </c>
      <c r="H24" s="85" t="s">
        <v>20</v>
      </c>
      <c r="I24" s="85" t="s">
        <v>158</v>
      </c>
      <c r="J24" s="85" t="s">
        <v>159</v>
      </c>
      <c r="K24" s="87">
        <v>7</v>
      </c>
      <c r="L24" s="88">
        <v>1</v>
      </c>
      <c r="M24" s="29">
        <f t="shared" si="0"/>
        <v>6</v>
      </c>
      <c r="N24" s="89" t="s">
        <v>141</v>
      </c>
      <c r="O24" s="13"/>
    </row>
    <row r="25" spans="1:15" ht="39" customHeight="1" thickBot="1">
      <c r="A25" s="6">
        <v>23</v>
      </c>
      <c r="B25" s="104" t="s">
        <v>142</v>
      </c>
      <c r="C25" s="94" t="s">
        <v>165</v>
      </c>
      <c r="D25" s="90" t="s">
        <v>167</v>
      </c>
      <c r="E25" s="90" t="s">
        <v>143</v>
      </c>
      <c r="F25" s="90" t="s">
        <v>144</v>
      </c>
      <c r="G25" s="90" t="s">
        <v>145</v>
      </c>
      <c r="H25" s="90" t="s">
        <v>158</v>
      </c>
      <c r="I25" s="90" t="s">
        <v>20</v>
      </c>
      <c r="J25" s="90" t="s">
        <v>159</v>
      </c>
      <c r="K25" s="107">
        <v>5</v>
      </c>
      <c r="L25" s="93">
        <v>2</v>
      </c>
      <c r="M25" s="29">
        <f t="shared" si="0"/>
        <v>12</v>
      </c>
      <c r="N25" s="105" t="s">
        <v>146</v>
      </c>
      <c r="O25" s="13"/>
    </row>
    <row r="26" spans="1:15" ht="15.75" thickBot="1">
      <c r="A26" s="6">
        <v>24</v>
      </c>
      <c r="B26" s="104"/>
      <c r="C26" s="91" t="s">
        <v>166</v>
      </c>
      <c r="D26" s="90" t="s">
        <v>169</v>
      </c>
      <c r="E26" s="80" t="s">
        <v>168</v>
      </c>
      <c r="F26" s="80" t="s">
        <v>170</v>
      </c>
      <c r="G26" s="80" t="s">
        <v>145</v>
      </c>
      <c r="H26" s="90" t="s">
        <v>158</v>
      </c>
      <c r="I26" s="90" t="s">
        <v>164</v>
      </c>
      <c r="J26" s="90" t="s">
        <v>159</v>
      </c>
      <c r="K26" s="108"/>
      <c r="L26" s="93">
        <v>1</v>
      </c>
      <c r="M26" s="29">
        <f t="shared" si="0"/>
        <v>6</v>
      </c>
      <c r="N26" s="106"/>
      <c r="O26" s="13"/>
    </row>
    <row r="27" spans="1:15" ht="15.75" thickBot="1">
      <c r="A27" s="6">
        <v>25</v>
      </c>
      <c r="B27" s="101"/>
      <c r="C27" s="91" t="s">
        <v>172</v>
      </c>
      <c r="D27" s="80" t="s">
        <v>147</v>
      </c>
      <c r="E27" s="80" t="s">
        <v>111</v>
      </c>
      <c r="F27" s="80" t="s">
        <v>173</v>
      </c>
      <c r="G27" s="80" t="s">
        <v>174</v>
      </c>
      <c r="H27" s="80" t="s">
        <v>160</v>
      </c>
      <c r="I27" s="80" t="s">
        <v>157</v>
      </c>
      <c r="J27" s="80" t="s">
        <v>159</v>
      </c>
      <c r="K27" s="83">
        <v>10</v>
      </c>
      <c r="L27" s="83">
        <v>1</v>
      </c>
      <c r="M27" s="29">
        <f t="shared" si="0"/>
        <v>6</v>
      </c>
      <c r="N27" s="89" t="s">
        <v>146</v>
      </c>
      <c r="O27" s="13"/>
    </row>
    <row r="28" spans="1:15" ht="15.75" thickBot="1">
      <c r="A28" s="6">
        <v>26</v>
      </c>
      <c r="B28" s="101"/>
      <c r="C28" s="62" t="s">
        <v>148</v>
      </c>
      <c r="D28" s="17" t="s">
        <v>149</v>
      </c>
      <c r="E28" s="17" t="s">
        <v>150</v>
      </c>
      <c r="F28" s="63" t="s">
        <v>150</v>
      </c>
      <c r="G28" s="17" t="s">
        <v>157</v>
      </c>
      <c r="H28" s="17" t="s">
        <v>157</v>
      </c>
      <c r="I28" s="17" t="s">
        <v>157</v>
      </c>
      <c r="J28" s="17" t="s">
        <v>158</v>
      </c>
      <c r="K28" s="17" t="s">
        <v>157</v>
      </c>
      <c r="L28" s="64">
        <v>5</v>
      </c>
      <c r="M28" s="29">
        <f t="shared" si="0"/>
        <v>30</v>
      </c>
      <c r="N28" s="17" t="s">
        <v>157</v>
      </c>
      <c r="O28" s="13"/>
    </row>
    <row r="29" spans="1:15" ht="15.75" thickBot="1">
      <c r="A29" s="95">
        <v>27</v>
      </c>
      <c r="B29" s="102"/>
      <c r="C29" s="65" t="s">
        <v>151</v>
      </c>
      <c r="D29" s="66" t="s">
        <v>152</v>
      </c>
      <c r="E29" s="24" t="s">
        <v>153</v>
      </c>
      <c r="F29" s="66" t="s">
        <v>153</v>
      </c>
      <c r="G29" s="24" t="s">
        <v>157</v>
      </c>
      <c r="H29" s="24" t="s">
        <v>157</v>
      </c>
      <c r="I29" s="24" t="s">
        <v>157</v>
      </c>
      <c r="J29" s="24" t="s">
        <v>158</v>
      </c>
      <c r="K29" s="24" t="s">
        <v>157</v>
      </c>
      <c r="L29" s="67">
        <v>3</v>
      </c>
      <c r="M29" s="29">
        <f t="shared" si="0"/>
        <v>18</v>
      </c>
      <c r="N29" s="24" t="s">
        <v>157</v>
      </c>
      <c r="O29" s="13"/>
    </row>
    <row r="30" spans="1:15" ht="16.5" thickBot="1">
      <c r="A30" s="1"/>
      <c r="C30" s="7"/>
      <c r="D30" s="8"/>
      <c r="E30" s="7"/>
      <c r="G30" s="7"/>
      <c r="H30" s="7"/>
      <c r="I30" s="7"/>
      <c r="J30" s="7"/>
      <c r="K30" s="7"/>
      <c r="L30" s="98" t="s">
        <v>154</v>
      </c>
      <c r="M30" s="98"/>
      <c r="N30" s="98"/>
      <c r="O30" s="13"/>
    </row>
    <row r="31" spans="1:15" ht="15.75">
      <c r="A31" s="1"/>
      <c r="C31" s="7"/>
      <c r="E31" s="9"/>
      <c r="F31" s="9"/>
      <c r="G31" s="7"/>
      <c r="H31" s="7"/>
      <c r="I31" s="7"/>
      <c r="J31" s="7"/>
      <c r="K31" s="7"/>
      <c r="L31" s="99" t="s">
        <v>155</v>
      </c>
      <c r="M31" s="99"/>
      <c r="N31" s="99"/>
      <c r="O31" s="13"/>
    </row>
    <row r="32" spans="1:15">
      <c r="A32" s="1"/>
      <c r="D32" s="10"/>
      <c r="E32" s="9"/>
      <c r="O32" s="13"/>
    </row>
    <row r="33" spans="1:15">
      <c r="A33" s="1"/>
      <c r="D33" s="9"/>
      <c r="O33" s="13"/>
    </row>
    <row r="34" spans="1:15">
      <c r="A34" s="1"/>
      <c r="C34" s="10"/>
      <c r="D34" s="9"/>
      <c r="O34" s="13"/>
    </row>
    <row r="35" spans="1:15">
      <c r="A35" s="1"/>
      <c r="O35" s="13"/>
    </row>
    <row r="36" spans="1:15">
      <c r="A36" s="1"/>
      <c r="O36" s="13"/>
    </row>
    <row r="37" spans="1:15">
      <c r="A37" s="1"/>
      <c r="O37" s="13"/>
    </row>
    <row r="38" spans="1:15">
      <c r="A38" s="1"/>
      <c r="O38" s="13"/>
    </row>
    <row r="39" spans="1:15" ht="15.75" customHeight="1">
      <c r="A39" s="1"/>
      <c r="O39" s="13"/>
    </row>
    <row r="40" spans="1:15">
      <c r="A40" s="1"/>
      <c r="O40" s="13"/>
    </row>
    <row r="41" spans="1:15">
      <c r="A41" s="1"/>
      <c r="O41" s="13"/>
    </row>
    <row r="42" spans="1:15">
      <c r="A42" s="1"/>
      <c r="O42" s="13"/>
    </row>
    <row r="43" spans="1:15">
      <c r="A43" s="1"/>
      <c r="O43" s="13"/>
    </row>
    <row r="44" spans="1:15">
      <c r="A44" s="1"/>
      <c r="O44" s="13"/>
    </row>
    <row r="45" spans="1:15">
      <c r="H45" s="11"/>
    </row>
    <row r="46" spans="1:15">
      <c r="H46" s="11"/>
    </row>
  </sheetData>
  <mergeCells count="11">
    <mergeCell ref="A1:N1"/>
    <mergeCell ref="L30:N30"/>
    <mergeCell ref="L31:N31"/>
    <mergeCell ref="B3:B7"/>
    <mergeCell ref="B9:B10"/>
    <mergeCell ref="B11:B17"/>
    <mergeCell ref="B19:B22"/>
    <mergeCell ref="B23:B24"/>
    <mergeCell ref="B25:B29"/>
    <mergeCell ref="N25:N26"/>
    <mergeCell ref="K25:K26"/>
  </mergeCells>
  <conditionalFormatting sqref="L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9:N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L17:M27 L8:L14 M3:M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:M29 L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8" r:id="rId4" xr:uid="{00000000-0004-0000-0000-000003000000}"/>
    <hyperlink ref="N9" r:id="rId5" xr:uid="{00000000-0004-0000-0000-000004000000}"/>
    <hyperlink ref="N10" r:id="rId6" xr:uid="{00000000-0004-0000-0000-000005000000}"/>
    <hyperlink ref="N11" r:id="rId7" xr:uid="{00000000-0004-0000-0000-000006000000}"/>
    <hyperlink ref="N13" r:id="rId8" xr:uid="{00000000-0004-0000-0000-000007000000}"/>
    <hyperlink ref="N12" r:id="rId9" xr:uid="{00000000-0004-0000-0000-000008000000}"/>
    <hyperlink ref="N14" r:id="rId10" xr:uid="{00000000-0004-0000-0000-000009000000}"/>
    <hyperlink ref="N17" r:id="rId11" xr:uid="{00000000-0004-0000-0000-00000A000000}"/>
    <hyperlink ref="N18" r:id="rId12" xr:uid="{00000000-0004-0000-0000-00000B000000}"/>
    <hyperlink ref="N20" r:id="rId13" xr:uid="{00000000-0004-0000-0000-00000C000000}"/>
    <hyperlink ref="N6" r:id="rId14" xr:uid="{00000000-0004-0000-0000-00000D000000}"/>
    <hyperlink ref="N7" r:id="rId15" xr:uid="{00000000-0004-0000-0000-00000E000000}"/>
    <hyperlink ref="N21" r:id="rId16" xr:uid="{00000000-0004-0000-0000-00000F000000}"/>
    <hyperlink ref="N25" r:id="rId17" xr:uid="{00000000-0004-0000-0000-000010000000}"/>
    <hyperlink ref="N22" r:id="rId18" xr:uid="{00000000-0004-0000-0000-000011000000}"/>
    <hyperlink ref="N15" r:id="rId19" xr:uid="{00000000-0004-0000-0000-000012000000}"/>
    <hyperlink ref="N16" r:id="rId20" xr:uid="{00000000-0004-0000-0000-000013000000}"/>
    <hyperlink ref="N27" r:id="rId21" xr:uid="{00000000-0004-0000-0000-000014000000}"/>
  </hyperlinks>
  <pageMargins left="0.75" right="0.75" top="1" bottom="1" header="0.5" footer="0.5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user</cp:lastModifiedBy>
  <dcterms:created xsi:type="dcterms:W3CDTF">2021-10-16T12:34:00Z</dcterms:created>
  <dcterms:modified xsi:type="dcterms:W3CDTF">2022-04-05T07:54:25Z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