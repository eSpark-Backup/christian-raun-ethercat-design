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19"/>
  <workbookPr/>
  <mc:AlternateContent xmlns:mc="http://schemas.openxmlformats.org/markup-compatibility/2006">
    <mc:Choice Requires="x15">
      <x15ac:absPath xmlns:x15ac="http://schemas.microsoft.com/office/spreadsheetml/2010/11/ac" url="D:\Github\ChristianRaun-EthercatDesign\Deliverables\Control_Board\BOM\"/>
    </mc:Choice>
  </mc:AlternateContent>
  <xr:revisionPtr revIDLastSave="0" documentId="13_ncr:1_{6A359992-1E27-46B3-91E0-DB11B9FEA752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" i="1"/>
</calcChain>
</file>

<file path=xl/sharedStrings.xml><?xml version="1.0" encoding="utf-8"?>
<sst xmlns="http://schemas.openxmlformats.org/spreadsheetml/2006/main" count="262" uniqueCount="175">
  <si>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</si>
  <si>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</si>
  <si>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</si>
  <si>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</si>
  <si>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</si>
  <si>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</si>
  <si>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</si>
  <si>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</si>
  <si>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</si>
  <si>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</si>
  <si>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</si>
  <si>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</si>
  <si>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</si>
  <si>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</si>
  <si>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</si>
  <si>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</si>
  <si>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</si>
  <si>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</si>
  <si>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</si>
  <si>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</si>
  <si>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</si>
  <si>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</si>
  <si>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</si>
  <si>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</si>
  <si>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</si>
  <si>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</si>
  <si>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</si>
  <si>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</si>
  <si>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</si>
  <si>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</si>
  <si>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</si>
  <si>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</si>
  <si>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</si>
  <si>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</si>
  <si>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</si>
  <si>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</si>
  <si>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</si>
  <si>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</si>
  <si>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</si>
  <si>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</si>
  <si>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</si>
  <si>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</si>
  <si>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</si>
  <si>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</si>
  <si>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</si>
  <si>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</si>
  <si>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</si>
  <si>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</si>
  <si>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</si>
  <si>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</si>
  <si>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</si>
  <si>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</si>
  <si>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</si>
  <si>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</si>
  <si>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</si>
  <si>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</si>
  <si>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</si>
  <si>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</si>
  <si>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</si>
  <si>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</si>
  <si>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</si>
  <si>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</si>
  <si>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</si>
  <si>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</si>
  <si>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</si>
  <si>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</si>
  <si>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</si>
  <si>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</si>
  <si>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</si>
  <si>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</si>
  <si>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</si>
  <si>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</si>
  <si>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</si>
  <si>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</si>
  <si>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</si>
  <si>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</si>
  <si>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</si>
  <si>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</si>
  <si>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</si>
  <si>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</si>
  <si>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</si>
  <si>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</si>
  <si>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</si>
  <si>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</si>
  <si>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</si>
  <si>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</si>
  <si>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</si>
  <si>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</si>
  <si>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</si>
  <si>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</si>
  <si>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</si>
  <si>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</si>
  <si>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</si>
  <si>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</si>
  <si>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</si>
  <si>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</si>
  <si>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</si>
  <si>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</si>
  <si>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</si>
  <si>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</si>
  <si>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</si>
  <si>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</si>
  <si>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</si>
  <si>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</si>
  <si>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</si>
  <si>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</si>
  <si>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</si>
  <si>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</si>
  <si>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</si>
  <si>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</si>
  <si>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</si>
  <si>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</si>
  <si>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</si>
  <si>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</si>
  <si>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</si>
  <si>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</si>
  <si>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</si>
  <si>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</si>
  <si>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</si>
  <si>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</si>
  <si>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</si>
  <si>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</si>
  <si>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</si>
  <si>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</si>
  <si>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</si>
  <si>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</si>
  <si>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</si>
  <si>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</si>
  <si>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</si>
  <si>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</si>
  <si>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</si>
  <si>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</si>
  <si>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</si>
  <si>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</si>
  <si>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</si>
  <si>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</si>
  <si>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</si>
  <si>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</si>
  <si>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</si>
  <si>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</si>
  <si>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</si>
  <si>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</si>
  <si>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</si>
  <si>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</si>
  <si>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</si>
  <si>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</si>
  <si>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</si>
  <si>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</si>
  <si>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</si>
  <si>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</si>
  <si>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Test Point ON</t>
  </si>
  <si>
    <t>P1,P5,P6</t>
  </si>
  <si>
    <t>TEST POINT</t>
  </si>
  <si>
    <t xml:space="preserve">Total Component Cost </t>
  </si>
  <si>
    <t>Single Board Cost</t>
  </si>
  <si>
    <t>C2, C4, C6, C7, C8, C9, C10, C11, C12, C13, C14, C15, C16, C20, C21, C22, C23, C24, C25, C30, C31, C34, C35, C41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</si>
  <si>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</si>
  <si>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</si>
  <si>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</si>
  <si>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</si>
  <si>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</si>
  <si>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</si>
  <si>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</si>
  <si>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</si>
  <si>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</si>
  <si>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</si>
  <si>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</si>
  <si>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</si>
  <si>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</si>
  <si>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</si>
  <si>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</si>
  <si>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95278-101A26LF
</t>
  </si>
  <si>
    <t xml:space="preserve">Amphenol </t>
  </si>
  <si>
    <t>Quantity 6</t>
  </si>
  <si>
    <t xml:space="preserve">CONN MALE HEADER SMD 26POS 2.54MM, DUAL ROW (13 x 2)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</si>
</sst>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98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0" fontId="9" fillId="0" borderId="11" xfId="0" quotePrefix="1" applyFont="1" applyBorder="1" applyAlignment="1">
      <alignment horizontal="center" vertical="center"/>
    </xf>
    <xf numFmtId="0" fontId="9" fillId="0" borderId="14" xfId="0" quotePrefix="1" applyFont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Border="1" applyAlignment="1">
      <alignment horizontal="center" vertical="center"/>
    </xf>
    <xf numFmtId="0" fontId="10" fillId="0" borderId="11" xfId="0" quotePrefix="1" applyFont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2" fillId="4" borderId="18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Border="1" applyAlignment="1">
      <alignment horizontal="left" vertical="center"/>
    </xf>
    <xf numFmtId="0" fontId="12" fillId="0" borderId="8" xfId="0" quotePrefix="1" applyFont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0" fontId="10" fillId="0" borderId="10" xfId="0" quotePrefix="1" applyFont="1" applyBorder="1" applyAlignment="1">
      <alignment horizontal="left" vertical="center"/>
    </xf>
    <xf numFmtId="0" fontId="12" fillId="0" borderId="11" xfId="0" quotePrefix="1" applyFont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10" fillId="0" borderId="13" xfId="0" quotePrefix="1" applyFont="1" applyBorder="1" applyAlignment="1">
      <alignment horizontal="left" vertical="center"/>
    </xf>
    <xf numFmtId="0" fontId="10" fillId="0" borderId="14" xfId="0" quotePrefix="1" applyFont="1" applyBorder="1" applyAlignment="1">
      <alignment horizontal="center" vertical="center"/>
    </xf>
    <xf numFmtId="0" fontId="12" fillId="0" borderId="14" xfId="0" quotePrefix="1" applyFont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0" fontId="10" fillId="0" borderId="21" xfId="0" quotePrefix="1" applyFont="1" applyBorder="1" applyAlignment="1">
      <alignment horizontal="left" vertical="center"/>
    </xf>
    <xf numFmtId="0" fontId="10" fillId="0" borderId="18" xfId="0" quotePrefix="1" applyFont="1" applyBorder="1" applyAlignment="1">
      <alignment horizontal="center" vertical="center"/>
    </xf>
    <xf numFmtId="0" fontId="12" fillId="0" borderId="18" xfId="0" quotePrefix="1" applyFont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3" fillId="0" borderId="18" xfId="1" quotePrefix="1" applyFont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0" fontId="10" fillId="4" borderId="21" xfId="0" quotePrefix="1" applyFont="1" applyFill="1" applyBorder="1" applyAlignment="1">
      <alignment horizontal="left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4" fillId="0" borderId="11" xfId="1" applyFont="1" applyBorder="1" applyAlignment="1">
      <alignment horizontal="center" vertical="center"/>
    </xf>
    <xf numFmtId="0" fontId="10" fillId="6" borderId="7" xfId="0" quotePrefix="1" applyFont="1" applyFill="1" applyBorder="1" applyAlignment="1">
      <alignment horizontal="left" vertical="center"/>
    </xf>
    <xf numFmtId="0" fontId="10" fillId="6" borderId="8" xfId="0" quotePrefix="1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8" xfId="0" applyFont="1" applyFill="1" applyBorder="1">
      <alignment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8" xfId="0" quotePrefix="1" applyFont="1" applyFill="1" applyBorder="1" applyAlignment="1">
      <alignment horizontal="center" vertical="center"/>
    </xf>
    <xf numFmtId="0" fontId="13" fillId="6" borderId="8" xfId="1" quotePrefix="1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0" fontId="12" fillId="6" borderId="11" xfId="0" quotePrefix="1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0" fontId="10" fillId="6" borderId="14" xfId="0" quotePrefix="1" applyFont="1" applyFill="1" applyBorder="1" applyAlignment="1">
      <alignment horizontal="center" vertical="center"/>
    </xf>
    <xf numFmtId="0" fontId="12" fillId="6" borderId="14" xfId="0" quotePrefix="1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3" fillId="6" borderId="14" xfId="1" quotePrefix="1" applyFont="1" applyFill="1" applyBorder="1" applyAlignment="1">
      <alignment horizontal="center" vertical="center"/>
    </xf>
    <xf numFmtId="0" fontId="10" fillId="6" borderId="17" xfId="0" quotePrefix="1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19" xfId="0" quotePrefix="1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3" fillId="6" borderId="23" xfId="1" quotePrefix="1" applyFont="1" applyFill="1" applyBorder="1" applyAlignment="1">
      <alignment horizontal="center" vertical="center"/>
    </xf>
    <xf numFmtId="0" fontId="13" fillId="6" borderId="17" xfId="1" quotePrefix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www.aliexpress.com/item/3272471324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10" workbookViewId="0">
      <selection activeCell="C32" sqref="C32"/>
    </sheetView>
  </sheetViews>
  <sheetFormatPr defaultColWidth="9" defaultRowHeight="14.4"/>
  <cols>
    <col min="1" max="1" width="6.109375" style="2" customWidth="1"/>
    <col min="2" max="2" width="14.44140625" style="1" customWidth="1"/>
    <col min="3" max="3" width="50.21875" style="1" customWidth="1"/>
    <col min="4" max="4" width="33.109375" style="1" customWidth="1"/>
    <col min="5" max="5" width="21" style="1" customWidth="1"/>
    <col min="6" max="6" width="33.5546875" style="1" bestFit="1" customWidth="1"/>
    <col min="7" max="7" width="14.6640625" style="1" bestFit="1" customWidth="1"/>
    <col min="8" max="8" width="14.44140625" style="2" customWidth="1"/>
    <col min="9" max="9" width="19.88671875" style="1" bestFit="1" customWidth="1"/>
    <col min="10" max="10" width="6.44140625" style="1" bestFit="1" customWidth="1"/>
    <col min="11" max="11" width="21.88671875" style="1" customWidth="1"/>
    <col min="12" max="12" width="14.109375" style="1" customWidth="1"/>
    <col min="13" max="13" width="13.6640625" style="1" bestFit="1" customWidth="1"/>
    <col min="14" max="16384" width="9" style="1"/>
  </cols>
  <sheetData>
    <row r="1" spans="1:13" ht="16.2" thickBot="1">
      <c r="A1" s="87" t="s">
        <v>160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</row>
    <row r="2" spans="1:13" ht="16.2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173</v>
      </c>
      <c r="M2" s="12" t="s">
        <v>11</v>
      </c>
    </row>
    <row r="3" spans="1:13" ht="15" thickBot="1">
      <c r="A3" s="6">
        <v>1</v>
      </c>
      <c r="B3" s="91" t="s">
        <v>12</v>
      </c>
      <c r="C3" s="24" t="s">
        <v>13</v>
      </c>
      <c r="D3" s="50" t="s">
        <v>14</v>
      </c>
      <c r="E3" s="17" t="s">
        <v>15</v>
      </c>
      <c r="F3" s="17" t="s">
        <v>16</v>
      </c>
      <c r="G3" s="25" t="s">
        <v>17</v>
      </c>
      <c r="H3" s="26" t="s">
        <v>18</v>
      </c>
      <c r="I3" s="27" t="s">
        <v>19</v>
      </c>
      <c r="J3" s="17" t="s">
        <v>20</v>
      </c>
      <c r="K3" s="28">
        <v>4</v>
      </c>
      <c r="L3" s="28">
        <f>K3*6</f>
        <v>24</v>
      </c>
      <c r="M3" s="29" t="s">
        <v>21</v>
      </c>
    </row>
    <row r="4" spans="1:13" ht="42" thickBot="1">
      <c r="A4" s="6">
        <v>2</v>
      </c>
      <c r="B4" s="92"/>
      <c r="C4" s="30" t="s">
        <v>22</v>
      </c>
      <c r="D4" s="61" t="s">
        <v>155</v>
      </c>
      <c r="E4" s="18" t="s">
        <v>23</v>
      </c>
      <c r="F4" s="18" t="s">
        <v>24</v>
      </c>
      <c r="G4" s="31" t="s">
        <v>25</v>
      </c>
      <c r="H4" s="32" t="s">
        <v>26</v>
      </c>
      <c r="I4" s="19" t="s">
        <v>19</v>
      </c>
      <c r="J4" s="18" t="s">
        <v>27</v>
      </c>
      <c r="K4" s="33">
        <v>24</v>
      </c>
      <c r="L4" s="28">
        <f t="shared" ref="L4:L29" si="0">K4*6</f>
        <v>144</v>
      </c>
      <c r="M4" s="34" t="s">
        <v>21</v>
      </c>
    </row>
    <row r="5" spans="1:13" ht="15" thickBot="1">
      <c r="A5" s="6">
        <v>3</v>
      </c>
      <c r="B5" s="92"/>
      <c r="C5" s="30" t="s">
        <v>28</v>
      </c>
      <c r="D5" s="35" t="s">
        <v>29</v>
      </c>
      <c r="E5" s="18" t="s">
        <v>15</v>
      </c>
      <c r="F5" s="13" t="s">
        <v>30</v>
      </c>
      <c r="G5" s="31" t="s">
        <v>17</v>
      </c>
      <c r="H5" s="32" t="s">
        <v>31</v>
      </c>
      <c r="I5" s="35" t="s">
        <v>32</v>
      </c>
      <c r="J5" s="18" t="s">
        <v>33</v>
      </c>
      <c r="K5" s="33">
        <v>1</v>
      </c>
      <c r="L5" s="28">
        <f t="shared" si="0"/>
        <v>6</v>
      </c>
      <c r="M5" s="34" t="s">
        <v>21</v>
      </c>
    </row>
    <row r="6" spans="1:13" ht="15" thickBot="1">
      <c r="A6" s="6">
        <v>4</v>
      </c>
      <c r="B6" s="92"/>
      <c r="C6" s="30" t="s">
        <v>34</v>
      </c>
      <c r="D6" s="35" t="s">
        <v>35</v>
      </c>
      <c r="E6" s="18" t="s">
        <v>23</v>
      </c>
      <c r="F6" s="13" t="s">
        <v>36</v>
      </c>
      <c r="G6" s="31" t="s">
        <v>37</v>
      </c>
      <c r="H6" s="32" t="s">
        <v>38</v>
      </c>
      <c r="I6" s="35" t="s">
        <v>39</v>
      </c>
      <c r="J6" s="18" t="s">
        <v>40</v>
      </c>
      <c r="K6" s="33">
        <v>3</v>
      </c>
      <c r="L6" s="28">
        <f t="shared" si="0"/>
        <v>18</v>
      </c>
      <c r="M6" s="15" t="s">
        <v>21</v>
      </c>
    </row>
    <row r="7" spans="1:13" ht="15" thickBot="1">
      <c r="A7" s="6">
        <v>5</v>
      </c>
      <c r="B7" s="93"/>
      <c r="C7" s="36" t="s">
        <v>41</v>
      </c>
      <c r="D7" s="40" t="s">
        <v>42</v>
      </c>
      <c r="E7" s="37" t="s">
        <v>23</v>
      </c>
      <c r="F7" s="14" t="s">
        <v>43</v>
      </c>
      <c r="G7" s="38" t="s">
        <v>44</v>
      </c>
      <c r="H7" s="39" t="s">
        <v>45</v>
      </c>
      <c r="I7" s="40" t="s">
        <v>46</v>
      </c>
      <c r="J7" s="37" t="s">
        <v>47</v>
      </c>
      <c r="K7" s="41">
        <v>4</v>
      </c>
      <c r="L7" s="28">
        <f t="shared" si="0"/>
        <v>24</v>
      </c>
      <c r="M7" s="42" t="s">
        <v>21</v>
      </c>
    </row>
    <row r="8" spans="1:13" ht="15" thickBot="1">
      <c r="A8" s="6">
        <v>6</v>
      </c>
      <c r="B8" s="20" t="s">
        <v>48</v>
      </c>
      <c r="C8" s="43" t="s">
        <v>49</v>
      </c>
      <c r="D8" s="47" t="s">
        <v>50</v>
      </c>
      <c r="E8" s="44" t="s">
        <v>51</v>
      </c>
      <c r="F8" s="44" t="s">
        <v>52</v>
      </c>
      <c r="G8" s="45" t="s">
        <v>53</v>
      </c>
      <c r="H8" s="46" t="s">
        <v>54</v>
      </c>
      <c r="I8" s="47" t="s">
        <v>19</v>
      </c>
      <c r="J8" s="45" t="s">
        <v>55</v>
      </c>
      <c r="K8" s="48">
        <v>3</v>
      </c>
      <c r="L8" s="28">
        <f t="shared" si="0"/>
        <v>18</v>
      </c>
      <c r="M8" s="49" t="s">
        <v>21</v>
      </c>
    </row>
    <row r="9" spans="1:13" ht="15" thickBot="1">
      <c r="A9" s="6">
        <v>7</v>
      </c>
      <c r="B9" s="91" t="s">
        <v>56</v>
      </c>
      <c r="C9" s="24" t="s">
        <v>57</v>
      </c>
      <c r="D9" s="50" t="s">
        <v>58</v>
      </c>
      <c r="E9" s="17" t="s">
        <v>59</v>
      </c>
      <c r="F9" s="17" t="s">
        <v>60</v>
      </c>
      <c r="G9" s="25" t="s">
        <v>61</v>
      </c>
      <c r="H9" s="26" t="s">
        <v>62</v>
      </c>
      <c r="I9" s="50" t="s">
        <v>19</v>
      </c>
      <c r="J9" s="25" t="s">
        <v>55</v>
      </c>
      <c r="K9" s="28">
        <v>5</v>
      </c>
      <c r="L9" s="28">
        <f t="shared" si="0"/>
        <v>30</v>
      </c>
      <c r="M9" s="29" t="s">
        <v>21</v>
      </c>
    </row>
    <row r="10" spans="1:13" ht="15" thickBot="1">
      <c r="A10" s="6">
        <v>8</v>
      </c>
      <c r="B10" s="93"/>
      <c r="C10" s="36" t="s">
        <v>63</v>
      </c>
      <c r="D10" s="40" t="s">
        <v>64</v>
      </c>
      <c r="E10" s="37" t="s">
        <v>65</v>
      </c>
      <c r="F10" s="37" t="s">
        <v>66</v>
      </c>
      <c r="G10" s="38" t="s">
        <v>67</v>
      </c>
      <c r="H10" s="39" t="s">
        <v>68</v>
      </c>
      <c r="I10" s="40" t="s">
        <v>19</v>
      </c>
      <c r="J10" s="38" t="s">
        <v>55</v>
      </c>
      <c r="K10" s="41">
        <v>1</v>
      </c>
      <c r="L10" s="28">
        <f t="shared" si="0"/>
        <v>6</v>
      </c>
      <c r="M10" s="51" t="s">
        <v>21</v>
      </c>
    </row>
    <row r="11" spans="1:13" ht="28.2" thickBot="1">
      <c r="A11" s="6">
        <v>9</v>
      </c>
      <c r="B11" s="91" t="s">
        <v>69</v>
      </c>
      <c r="C11" s="24" t="s">
        <v>70</v>
      </c>
      <c r="D11" s="62" t="s">
        <v>71</v>
      </c>
      <c r="E11" s="17" t="s">
        <v>72</v>
      </c>
      <c r="F11" s="17" t="s">
        <v>73</v>
      </c>
      <c r="G11" s="25" t="s">
        <v>25</v>
      </c>
      <c r="H11" s="26" t="s">
        <v>74</v>
      </c>
      <c r="I11" s="50" t="s">
        <v>19</v>
      </c>
      <c r="J11" s="17" t="s">
        <v>75</v>
      </c>
      <c r="K11" s="28">
        <v>12</v>
      </c>
      <c r="L11" s="28">
        <f t="shared" si="0"/>
        <v>72</v>
      </c>
      <c r="M11" s="22" t="s">
        <v>21</v>
      </c>
    </row>
    <row r="12" spans="1:13" ht="15" thickBot="1">
      <c r="A12" s="6">
        <v>10</v>
      </c>
      <c r="B12" s="92"/>
      <c r="C12" s="30" t="s">
        <v>76</v>
      </c>
      <c r="D12" s="35" t="s">
        <v>77</v>
      </c>
      <c r="E12" s="18" t="s">
        <v>72</v>
      </c>
      <c r="F12" s="18" t="s">
        <v>78</v>
      </c>
      <c r="G12" s="31" t="s">
        <v>25</v>
      </c>
      <c r="H12" s="32" t="s">
        <v>79</v>
      </c>
      <c r="I12" s="35" t="s">
        <v>19</v>
      </c>
      <c r="J12" s="18" t="s">
        <v>80</v>
      </c>
      <c r="K12" s="33">
        <v>3</v>
      </c>
      <c r="L12" s="28">
        <f t="shared" si="0"/>
        <v>18</v>
      </c>
      <c r="M12" s="15" t="s">
        <v>21</v>
      </c>
    </row>
    <row r="13" spans="1:13" ht="15" thickBot="1">
      <c r="A13" s="6">
        <v>11</v>
      </c>
      <c r="B13" s="92"/>
      <c r="C13" s="30" t="s">
        <v>81</v>
      </c>
      <c r="D13" s="35" t="s">
        <v>82</v>
      </c>
      <c r="E13" s="18" t="s">
        <v>72</v>
      </c>
      <c r="F13" s="18" t="s">
        <v>83</v>
      </c>
      <c r="G13" s="31" t="s">
        <v>25</v>
      </c>
      <c r="H13" s="32" t="s">
        <v>84</v>
      </c>
      <c r="I13" s="35" t="s">
        <v>19</v>
      </c>
      <c r="J13" s="18" t="s">
        <v>85</v>
      </c>
      <c r="K13" s="33">
        <v>1</v>
      </c>
      <c r="L13" s="28">
        <f t="shared" si="0"/>
        <v>6</v>
      </c>
      <c r="M13" s="52" t="s">
        <v>21</v>
      </c>
    </row>
    <row r="14" spans="1:13" ht="15" thickBot="1">
      <c r="A14" s="6">
        <v>12</v>
      </c>
      <c r="B14" s="92"/>
      <c r="C14" s="30" t="s">
        <v>86</v>
      </c>
      <c r="D14" s="35" t="s">
        <v>87</v>
      </c>
      <c r="E14" s="18" t="s">
        <v>72</v>
      </c>
      <c r="F14" s="18" t="s">
        <v>88</v>
      </c>
      <c r="G14" s="31" t="s">
        <v>25</v>
      </c>
      <c r="H14" s="32" t="s">
        <v>89</v>
      </c>
      <c r="I14" s="35" t="s">
        <v>19</v>
      </c>
      <c r="J14" s="18" t="s">
        <v>90</v>
      </c>
      <c r="K14" s="33">
        <v>4</v>
      </c>
      <c r="L14" s="28">
        <f t="shared" si="0"/>
        <v>24</v>
      </c>
      <c r="M14" s="15" t="s">
        <v>21</v>
      </c>
    </row>
    <row r="15" spans="1:13" ht="15" thickBot="1">
      <c r="A15" s="6">
        <v>13</v>
      </c>
      <c r="B15" s="94"/>
      <c r="C15" s="63" t="s">
        <v>91</v>
      </c>
      <c r="D15" s="61" t="s">
        <v>92</v>
      </c>
      <c r="E15" s="64" t="s">
        <v>72</v>
      </c>
      <c r="F15" s="64" t="s">
        <v>93</v>
      </c>
      <c r="G15" s="31" t="s">
        <v>25</v>
      </c>
      <c r="H15" s="32" t="s">
        <v>94</v>
      </c>
      <c r="I15" s="35" t="s">
        <v>19</v>
      </c>
      <c r="J15" s="64" t="s">
        <v>95</v>
      </c>
      <c r="K15" s="64">
        <v>2</v>
      </c>
      <c r="L15" s="28">
        <f t="shared" si="0"/>
        <v>12</v>
      </c>
      <c r="M15" s="65" t="s">
        <v>21</v>
      </c>
    </row>
    <row r="16" spans="1:13" ht="15" thickBot="1">
      <c r="A16" s="6">
        <v>14</v>
      </c>
      <c r="B16" s="94"/>
      <c r="C16" s="63" t="s">
        <v>96</v>
      </c>
      <c r="D16" s="61" t="s">
        <v>97</v>
      </c>
      <c r="E16" s="64" t="s">
        <v>72</v>
      </c>
      <c r="F16" s="64" t="s">
        <v>98</v>
      </c>
      <c r="G16" s="31" t="s">
        <v>25</v>
      </c>
      <c r="H16" s="32" t="s">
        <v>99</v>
      </c>
      <c r="I16" s="35" t="s">
        <v>19</v>
      </c>
      <c r="J16" s="64" t="s">
        <v>100</v>
      </c>
      <c r="K16" s="64">
        <v>1</v>
      </c>
      <c r="L16" s="28">
        <f t="shared" si="0"/>
        <v>6</v>
      </c>
      <c r="M16" s="65" t="s">
        <v>21</v>
      </c>
    </row>
    <row r="17" spans="1:13" ht="15" thickBot="1">
      <c r="A17" s="6">
        <v>15</v>
      </c>
      <c r="B17" s="93"/>
      <c r="C17" s="36" t="s">
        <v>101</v>
      </c>
      <c r="D17" s="40" t="s">
        <v>102</v>
      </c>
      <c r="E17" s="37" t="s">
        <v>72</v>
      </c>
      <c r="F17" s="37" t="s">
        <v>103</v>
      </c>
      <c r="G17" s="38" t="s">
        <v>104</v>
      </c>
      <c r="H17" s="39" t="s">
        <v>105</v>
      </c>
      <c r="I17" s="40" t="s">
        <v>19</v>
      </c>
      <c r="J17" s="37" t="s">
        <v>106</v>
      </c>
      <c r="K17" s="41">
        <v>1</v>
      </c>
      <c r="L17" s="28">
        <f t="shared" si="0"/>
        <v>6</v>
      </c>
      <c r="M17" s="42" t="s">
        <v>21</v>
      </c>
    </row>
    <row r="18" spans="1:13" ht="15" thickBot="1">
      <c r="A18" s="6">
        <v>16</v>
      </c>
      <c r="B18" s="20" t="s">
        <v>107</v>
      </c>
      <c r="C18" s="53" t="s">
        <v>108</v>
      </c>
      <c r="D18" s="47" t="s">
        <v>109</v>
      </c>
      <c r="E18" s="47" t="s">
        <v>110</v>
      </c>
      <c r="F18" s="47" t="s">
        <v>111</v>
      </c>
      <c r="G18" s="21" t="s">
        <v>112</v>
      </c>
      <c r="H18" s="21" t="s">
        <v>19</v>
      </c>
      <c r="I18" s="47" t="s">
        <v>19</v>
      </c>
      <c r="J18" s="21" t="s">
        <v>55</v>
      </c>
      <c r="K18" s="48">
        <v>1</v>
      </c>
      <c r="L18" s="28">
        <f t="shared" si="0"/>
        <v>6</v>
      </c>
      <c r="M18" s="49" t="s">
        <v>21</v>
      </c>
    </row>
    <row r="19" spans="1:13" ht="15" thickBot="1">
      <c r="A19" s="6">
        <v>17</v>
      </c>
      <c r="B19" s="91" t="s">
        <v>113</v>
      </c>
      <c r="C19" s="66" t="s">
        <v>114</v>
      </c>
      <c r="D19" s="67" t="s">
        <v>115</v>
      </c>
      <c r="E19" s="68" t="s">
        <v>161</v>
      </c>
      <c r="F19" s="67" t="s">
        <v>116</v>
      </c>
      <c r="G19" s="70" t="s">
        <v>162</v>
      </c>
      <c r="H19" s="71" t="s">
        <v>157</v>
      </c>
      <c r="I19" s="71" t="s">
        <v>163</v>
      </c>
      <c r="J19" s="71" t="s">
        <v>55</v>
      </c>
      <c r="K19" s="68">
        <v>1</v>
      </c>
      <c r="L19" s="28">
        <f t="shared" si="0"/>
        <v>6</v>
      </c>
      <c r="M19" s="72" t="s">
        <v>140</v>
      </c>
    </row>
    <row r="20" spans="1:13" ht="15" thickBot="1">
      <c r="A20" s="6">
        <v>18</v>
      </c>
      <c r="B20" s="92"/>
      <c r="C20" s="54" t="s">
        <v>117</v>
      </c>
      <c r="D20" s="35" t="s">
        <v>118</v>
      </c>
      <c r="E20" s="35" t="s">
        <v>119</v>
      </c>
      <c r="F20" s="35" t="s">
        <v>120</v>
      </c>
      <c r="G20" s="19" t="s">
        <v>121</v>
      </c>
      <c r="H20" s="32" t="s">
        <v>122</v>
      </c>
      <c r="I20" s="35" t="s">
        <v>19</v>
      </c>
      <c r="J20" s="19" t="s">
        <v>55</v>
      </c>
      <c r="K20" s="33">
        <v>1</v>
      </c>
      <c r="L20" s="28">
        <f t="shared" si="0"/>
        <v>6</v>
      </c>
      <c r="M20" s="15" t="s">
        <v>21</v>
      </c>
    </row>
    <row r="21" spans="1:13" ht="15" thickBot="1">
      <c r="A21" s="6">
        <v>19</v>
      </c>
      <c r="B21" s="92"/>
      <c r="C21" s="82" t="s">
        <v>123</v>
      </c>
      <c r="D21" s="73" t="s">
        <v>124</v>
      </c>
      <c r="E21" s="73" t="s">
        <v>119</v>
      </c>
      <c r="F21" s="73" t="s">
        <v>125</v>
      </c>
      <c r="G21" s="74" t="s">
        <v>126</v>
      </c>
      <c r="H21" s="74" t="s">
        <v>19</v>
      </c>
      <c r="I21" s="73" t="s">
        <v>19</v>
      </c>
      <c r="J21" s="74" t="s">
        <v>55</v>
      </c>
      <c r="K21" s="75">
        <v>1</v>
      </c>
      <c r="L21" s="28">
        <f t="shared" si="0"/>
        <v>6</v>
      </c>
      <c r="M21" s="76" t="s">
        <v>145</v>
      </c>
    </row>
    <row r="22" spans="1:13" ht="15" thickBot="1">
      <c r="A22" s="6">
        <v>20</v>
      </c>
      <c r="B22" s="93"/>
      <c r="C22" s="83" t="s">
        <v>127</v>
      </c>
      <c r="D22" s="77" t="s">
        <v>128</v>
      </c>
      <c r="E22" s="77" t="s">
        <v>129</v>
      </c>
      <c r="F22" s="77" t="s">
        <v>130</v>
      </c>
      <c r="G22" s="77" t="s">
        <v>131</v>
      </c>
      <c r="H22" s="77" t="s">
        <v>132</v>
      </c>
      <c r="I22" s="77" t="s">
        <v>19</v>
      </c>
      <c r="J22" s="78" t="s">
        <v>55</v>
      </c>
      <c r="K22" s="79">
        <v>1</v>
      </c>
      <c r="L22" s="28">
        <f t="shared" si="0"/>
        <v>6</v>
      </c>
      <c r="M22" s="80" t="s">
        <v>145</v>
      </c>
    </row>
    <row r="23" spans="1:13" ht="15" thickBot="1">
      <c r="A23" s="6">
        <v>21</v>
      </c>
      <c r="B23" s="91" t="s">
        <v>133</v>
      </c>
      <c r="C23" s="66" t="s">
        <v>134</v>
      </c>
      <c r="D23" s="67" t="s">
        <v>135</v>
      </c>
      <c r="E23" s="67" t="s">
        <v>110</v>
      </c>
      <c r="F23" s="67" t="s">
        <v>136</v>
      </c>
      <c r="G23" s="68" t="s">
        <v>170</v>
      </c>
      <c r="H23" s="69"/>
      <c r="I23" s="70"/>
      <c r="J23" s="70"/>
      <c r="K23" s="68">
        <v>1</v>
      </c>
      <c r="L23" s="28">
        <f t="shared" si="0"/>
        <v>6</v>
      </c>
      <c r="M23" s="22"/>
    </row>
    <row r="24" spans="1:13" ht="15" thickBot="1">
      <c r="A24" s="6">
        <v>22</v>
      </c>
      <c r="B24" s="93"/>
      <c r="C24" s="83" t="s">
        <v>137</v>
      </c>
      <c r="D24" s="77" t="s">
        <v>138</v>
      </c>
      <c r="E24" s="77" t="s">
        <v>110</v>
      </c>
      <c r="F24" s="77" t="s">
        <v>139</v>
      </c>
      <c r="G24" s="77" t="s">
        <v>157</v>
      </c>
      <c r="H24" s="77" t="s">
        <v>19</v>
      </c>
      <c r="I24" s="77" t="s">
        <v>157</v>
      </c>
      <c r="J24" s="77" t="s">
        <v>158</v>
      </c>
      <c r="K24" s="79">
        <v>1</v>
      </c>
      <c r="L24" s="28">
        <f t="shared" si="0"/>
        <v>6</v>
      </c>
      <c r="M24" s="80" t="s">
        <v>140</v>
      </c>
    </row>
    <row r="25" spans="1:13" ht="39" customHeight="1" thickBot="1">
      <c r="A25" s="6">
        <v>23</v>
      </c>
      <c r="B25" s="95" t="s">
        <v>141</v>
      </c>
      <c r="C25" s="85" t="s">
        <v>164</v>
      </c>
      <c r="D25" s="81" t="s">
        <v>166</v>
      </c>
      <c r="E25" s="81" t="s">
        <v>142</v>
      </c>
      <c r="F25" s="81" t="s">
        <v>143</v>
      </c>
      <c r="G25" s="81" t="s">
        <v>144</v>
      </c>
      <c r="H25" s="81" t="s">
        <v>157</v>
      </c>
      <c r="I25" s="81" t="s">
        <v>19</v>
      </c>
      <c r="J25" s="81" t="s">
        <v>158</v>
      </c>
      <c r="K25" s="84">
        <v>2</v>
      </c>
      <c r="L25" s="28">
        <f t="shared" si="0"/>
        <v>12</v>
      </c>
      <c r="M25" s="96" t="s">
        <v>145</v>
      </c>
    </row>
    <row r="26" spans="1:13" ht="15" thickBot="1">
      <c r="A26" s="6">
        <v>24</v>
      </c>
      <c r="B26" s="95"/>
      <c r="C26" s="82" t="s">
        <v>165</v>
      </c>
      <c r="D26" s="81" t="s">
        <v>168</v>
      </c>
      <c r="E26" s="73" t="s">
        <v>167</v>
      </c>
      <c r="F26" s="73" t="s">
        <v>169</v>
      </c>
      <c r="G26" s="73" t="s">
        <v>144</v>
      </c>
      <c r="H26" s="81" t="s">
        <v>157</v>
      </c>
      <c r="I26" s="81" t="s">
        <v>163</v>
      </c>
      <c r="J26" s="81" t="s">
        <v>158</v>
      </c>
      <c r="K26" s="84">
        <v>1</v>
      </c>
      <c r="L26" s="28">
        <f t="shared" si="0"/>
        <v>6</v>
      </c>
      <c r="M26" s="97"/>
    </row>
    <row r="27" spans="1:13" ht="15" thickBot="1">
      <c r="A27" s="6">
        <v>25</v>
      </c>
      <c r="B27" s="92"/>
      <c r="C27" s="82" t="s">
        <v>174</v>
      </c>
      <c r="D27" s="73" t="s">
        <v>146</v>
      </c>
      <c r="E27" s="73" t="s">
        <v>110</v>
      </c>
      <c r="F27" s="73" t="s">
        <v>171</v>
      </c>
      <c r="G27" s="73" t="s">
        <v>172</v>
      </c>
      <c r="H27" s="73" t="s">
        <v>159</v>
      </c>
      <c r="I27" s="73" t="s">
        <v>156</v>
      </c>
      <c r="J27" s="73" t="s">
        <v>158</v>
      </c>
      <c r="K27" s="75">
        <v>1</v>
      </c>
      <c r="L27" s="28">
        <f t="shared" si="0"/>
        <v>6</v>
      </c>
      <c r="M27" s="80" t="s">
        <v>145</v>
      </c>
    </row>
    <row r="28" spans="1:13" ht="15" thickBot="1">
      <c r="A28" s="6">
        <v>26</v>
      </c>
      <c r="B28" s="92"/>
      <c r="C28" s="55" t="s">
        <v>147</v>
      </c>
      <c r="D28" s="16" t="s">
        <v>148</v>
      </c>
      <c r="E28" s="16" t="s">
        <v>149</v>
      </c>
      <c r="F28" s="56" t="s">
        <v>149</v>
      </c>
      <c r="G28" s="16" t="s">
        <v>156</v>
      </c>
      <c r="H28" s="16" t="s">
        <v>156</v>
      </c>
      <c r="I28" s="16" t="s">
        <v>156</v>
      </c>
      <c r="J28" s="16" t="s">
        <v>157</v>
      </c>
      <c r="K28" s="57">
        <v>5</v>
      </c>
      <c r="L28" s="28">
        <f t="shared" si="0"/>
        <v>30</v>
      </c>
      <c r="M28" s="16" t="s">
        <v>156</v>
      </c>
    </row>
    <row r="29" spans="1:13" ht="15" thickBot="1">
      <c r="A29" s="86">
        <v>27</v>
      </c>
      <c r="B29" s="93"/>
      <c r="C29" s="58" t="s">
        <v>150</v>
      </c>
      <c r="D29" s="59" t="s">
        <v>151</v>
      </c>
      <c r="E29" s="23" t="s">
        <v>152</v>
      </c>
      <c r="F29" s="59" t="s">
        <v>152</v>
      </c>
      <c r="G29" s="23" t="s">
        <v>156</v>
      </c>
      <c r="H29" s="23" t="s">
        <v>156</v>
      </c>
      <c r="I29" s="23" t="s">
        <v>156</v>
      </c>
      <c r="J29" s="23" t="s">
        <v>157</v>
      </c>
      <c r="K29" s="60">
        <v>3</v>
      </c>
      <c r="L29" s="28">
        <f t="shared" si="0"/>
        <v>18</v>
      </c>
      <c r="M29" s="23" t="s">
        <v>156</v>
      </c>
    </row>
    <row r="30" spans="1:13" ht="16.2" thickBot="1">
      <c r="A30" s="1"/>
      <c r="C30" s="7"/>
      <c r="D30" s="8"/>
      <c r="E30" s="7"/>
      <c r="G30" s="7"/>
      <c r="H30" s="7"/>
      <c r="I30" s="7"/>
      <c r="J30" s="7"/>
      <c r="K30" s="89" t="s">
        <v>153</v>
      </c>
      <c r="L30" s="89"/>
      <c r="M30" s="89"/>
    </row>
    <row r="31" spans="1:13" ht="15.6">
      <c r="A31" s="1"/>
      <c r="C31" s="7"/>
      <c r="E31" s="9"/>
      <c r="F31" s="9"/>
      <c r="G31" s="7"/>
      <c r="H31" s="7"/>
      <c r="I31" s="7"/>
      <c r="J31" s="7"/>
      <c r="K31" s="90" t="s">
        <v>154</v>
      </c>
      <c r="L31" s="90"/>
      <c r="M31" s="90"/>
    </row>
    <row r="32" spans="1:13">
      <c r="A32" s="1"/>
      <c r="D32" s="10"/>
      <c r="E32" s="9"/>
    </row>
    <row r="33" spans="1:8">
      <c r="A33" s="1"/>
      <c r="D33" s="9"/>
    </row>
    <row r="34" spans="1:8">
      <c r="A34" s="1"/>
      <c r="C34" s="10"/>
      <c r="D34" s="9"/>
    </row>
    <row r="35" spans="1:8">
      <c r="A35" s="1"/>
    </row>
    <row r="36" spans="1:8">
      <c r="A36" s="1"/>
    </row>
    <row r="37" spans="1:8">
      <c r="A37" s="1"/>
    </row>
    <row r="38" spans="1:8">
      <c r="A38" s="1"/>
    </row>
    <row r="39" spans="1:8" ht="15.75" customHeight="1">
      <c r="A39" s="1"/>
    </row>
    <row r="40" spans="1:8">
      <c r="A40" s="1"/>
    </row>
    <row r="41" spans="1:8">
      <c r="A41" s="1"/>
    </row>
    <row r="42" spans="1:8">
      <c r="A42" s="1"/>
    </row>
    <row r="43" spans="1:8">
      <c r="A43" s="1"/>
    </row>
    <row r="44" spans="1:8">
      <c r="A44" s="1"/>
    </row>
    <row r="45" spans="1:8">
      <c r="H45" s="11"/>
    </row>
    <row r="46" spans="1:8">
      <c r="H46" s="11"/>
    </row>
  </sheetData>
  <mergeCells count="10">
    <mergeCell ref="A1:M1"/>
    <mergeCell ref="K30:M30"/>
    <mergeCell ref="K31:M31"/>
    <mergeCell ref="B3:B7"/>
    <mergeCell ref="B9:B10"/>
    <mergeCell ref="B11:B17"/>
    <mergeCell ref="B19:B22"/>
    <mergeCell ref="B23:B24"/>
    <mergeCell ref="B25:B29"/>
    <mergeCell ref="M25:M26"/>
  </mergeCells>
  <conditionalFormatting sqref="K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M9:M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K17:L27 K8:K14 L3:L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8:L29 K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M3" r:id="rId1" xr:uid="{00000000-0004-0000-0000-000000000000}"/>
    <hyperlink ref="M4" r:id="rId2" xr:uid="{00000000-0004-0000-0000-000001000000}"/>
    <hyperlink ref="M5" r:id="rId3" xr:uid="{00000000-0004-0000-0000-000002000000}"/>
    <hyperlink ref="M8" r:id="rId4" xr:uid="{00000000-0004-0000-0000-000003000000}"/>
    <hyperlink ref="M9" r:id="rId5" xr:uid="{00000000-0004-0000-0000-000004000000}"/>
    <hyperlink ref="M10" r:id="rId6" xr:uid="{00000000-0004-0000-0000-000005000000}"/>
    <hyperlink ref="M11" r:id="rId7" xr:uid="{00000000-0004-0000-0000-000006000000}"/>
    <hyperlink ref="M13" r:id="rId8" xr:uid="{00000000-0004-0000-0000-000007000000}"/>
    <hyperlink ref="M12" r:id="rId9" xr:uid="{00000000-0004-0000-0000-000008000000}"/>
    <hyperlink ref="M14" r:id="rId10" xr:uid="{00000000-0004-0000-0000-000009000000}"/>
    <hyperlink ref="M17" r:id="rId11" xr:uid="{00000000-0004-0000-0000-00000A000000}"/>
    <hyperlink ref="M18" r:id="rId12" xr:uid="{00000000-0004-0000-0000-00000B000000}"/>
    <hyperlink ref="M20" r:id="rId13" xr:uid="{00000000-0004-0000-0000-00000C000000}"/>
    <hyperlink ref="M6" r:id="rId14" xr:uid="{00000000-0004-0000-0000-00000D000000}"/>
    <hyperlink ref="M7" r:id="rId15" xr:uid="{00000000-0004-0000-0000-00000E000000}"/>
    <hyperlink ref="M21" r:id="rId16" xr:uid="{00000000-0004-0000-0000-00000F000000}"/>
    <hyperlink ref="M25" r:id="rId17" xr:uid="{00000000-0004-0000-0000-000010000000}"/>
    <hyperlink ref="M22" r:id="rId18" xr:uid="{00000000-0004-0000-0000-000011000000}"/>
    <hyperlink ref="M15" r:id="rId19" xr:uid="{00000000-0004-0000-0000-000012000000}"/>
    <hyperlink ref="M16" r:id="rId20" xr:uid="{00000000-0004-0000-0000-000013000000}"/>
    <hyperlink ref="M27" r:id="rId21" xr:uid="{00000000-0004-0000-0000-000014000000}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M9:M10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Faizan Ur Rahman</cp:lastModifiedBy>
  <dcterms:created xsi:type="dcterms:W3CDTF">2021-10-16T12:34:00Z</dcterms:created>
  <dcterms:modified xsi:type="dcterms:W3CDTF">2022-04-22T00:41:11Z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