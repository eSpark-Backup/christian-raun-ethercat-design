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Control_Board\BOM\"/>
    </mc:Choice>
  </mc:AlternateContent>
  <xr:revisionPtr revIDLastSave="0" documentId="13_ncr:1_{8637D911-D022-4768-A483-2FAA5B83CA47}" xr6:coauthVersionLast="47" xr6:coauthVersionMax="47" xr10:uidLastSave="{00000000-0000-0000-0000-000000000000}"/>
  <bookViews>
    <workbookView xWindow="-5715" yWindow="3075" windowWidth="11790" windowHeight="15360" xr2:uid="{1FFED774-B8A0-4F3B-A8EF-6E3139B4D556}"/>
  </bookViews>
  <sheets>
    <sheet name="Altium Generated BOM Control_Bo" sheetId="1" r:id="rId1"/>
  </sheets>
  <definedNames>
    <definedName name="_xlnm.Print_Titles" localSheetId="0">'Altium Generated BOM Control_Bo'!$1:$1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S2" i="1"/>
  <c r="R2" i="1"/>
  <c r="Q2" i="1"/>
</calcChain>
</file>

<file path=xl/sharedStrings.xml><?xml version="1.0" encoding="utf-8"?>
<sst xmlns="http://schemas.openxmlformats.org/spreadsheetml/2006/main" count="254" uniqueCount="127">
  <si>
    <t>Comment</t>
  </si>
  <si>
    <t>Description</t>
  </si>
  <si>
    <t>Designator</t>
  </si>
  <si>
    <t>Footprint</t>
  </si>
  <si>
    <t>Quantity</t>
  </si>
  <si>
    <t>Manufacturer</t>
  </si>
  <si>
    <t>Manufacturer Part Number</t>
  </si>
  <si>
    <t>1uF</t>
  </si>
  <si>
    <t>CAP CER 1UF 100V X7S 0805</t>
  </si>
  <si>
    <t>C1, C3, C5, C26</t>
  </si>
  <si>
    <t>Cap0805</t>
  </si>
  <si>
    <t>Murata</t>
  </si>
  <si>
    <t>GCM21BC72A105KE36L</t>
  </si>
  <si>
    <t>0.1uF</t>
  </si>
  <si>
    <t>CAP CER 0.1UF 100V X7R 0603</t>
  </si>
  <si>
    <t>C2, C4, C6, C7, C8, C9, C10, C11, C12, C13, C14, C15, C16, C20, C21, C22, C23, C24, C25, C30, C31, C34, C35, C41</t>
  </si>
  <si>
    <t>Cap0603</t>
  </si>
  <si>
    <t>Yageo</t>
  </si>
  <si>
    <t>CC0603KRX7R0BB104</t>
  </si>
  <si>
    <t>10uF</t>
  </si>
  <si>
    <t>CAP CER 10UF 50V X5R 0805</t>
  </si>
  <si>
    <t>C17</t>
  </si>
  <si>
    <t>GRM21BR61H106ME43L</t>
  </si>
  <si>
    <t>4.7uF</t>
  </si>
  <si>
    <t>CAP CER 4.7UF 25V X5R 0603</t>
  </si>
  <si>
    <t>C18, C19, C29</t>
  </si>
  <si>
    <t>TDK</t>
  </si>
  <si>
    <t>C1608X5R1E475M080AC</t>
  </si>
  <si>
    <t>10pF</t>
  </si>
  <si>
    <t>CAP CER 10PF 50V C0G/NP0 0603</t>
  </si>
  <si>
    <t>C27, C28, C32, C33</t>
  </si>
  <si>
    <t>Kyocera AVX</t>
  </si>
  <si>
    <t>06035A100JAT2A/4K</t>
  </si>
  <si>
    <t>PH254P1x12SMRA-100</t>
  </si>
  <si>
    <t>5 POS 2.54mm Pin Header Male single row Right Angle SMD</t>
  </si>
  <si>
    <t>J1</t>
  </si>
  <si>
    <t>HDR1X5 SMD</t>
  </si>
  <si>
    <t>RTLECS</t>
  </si>
  <si>
    <t>6 POS 2.54mm Pin Header Male single row Right Angle SMD</t>
  </si>
  <si>
    <t>J2</t>
  </si>
  <si>
    <t>HDR1X6 SMD</t>
  </si>
  <si>
    <t>95278-101A26LF</t>
  </si>
  <si>
    <t>CONN HEADER SMD 26POS 2.54MM</t>
  </si>
  <si>
    <t>J3</t>
  </si>
  <si>
    <t>Amphenol ICC (FCI)</t>
  </si>
  <si>
    <t>MLB1608-201P1A(f)</t>
  </si>
  <si>
    <t>200Ω @ 100MHz 1 1A 300mΩ 0603 Ferrite Beads</t>
  </si>
  <si>
    <t>L1, L2, L3, L4, L5</t>
  </si>
  <si>
    <t>Meled</t>
  </si>
  <si>
    <t>MGFL2012F100MT-LF</t>
  </si>
  <si>
    <t>IND SMD 10uH 500mA 0805</t>
  </si>
  <si>
    <t>L6</t>
  </si>
  <si>
    <t>Ind0805</t>
  </si>
  <si>
    <t>microgate</t>
  </si>
  <si>
    <t>16-213/GHC-YR1S1/3T</t>
  </si>
  <si>
    <t>Green 520~535nm 0402 Light Emitting Diodes (LED) RoHS</t>
  </si>
  <si>
    <t>LED1, LED2, LED3</t>
  </si>
  <si>
    <t>LED 0402</t>
  </si>
  <si>
    <t>Everlight Elec</t>
  </si>
  <si>
    <t>Test Point</t>
  </si>
  <si>
    <t>Test Point ON</t>
  </si>
  <si>
    <t>P1, P5, P6</t>
  </si>
  <si>
    <t>TEST POINT</t>
  </si>
  <si>
    <t>10K</t>
  </si>
  <si>
    <t>RES SMD 10K OHM 5% 1/10W 0603</t>
  </si>
  <si>
    <t>R1, R2, R3, R4, R5, R9, R14, R15, R16, R23, R41, R42</t>
  </si>
  <si>
    <t>Res0603</t>
  </si>
  <si>
    <t>AC0603JR-0710KL</t>
  </si>
  <si>
    <t>33R</t>
  </si>
  <si>
    <t>RES SMD 0603 33 Ohm 1% 1/10W</t>
  </si>
  <si>
    <t>R6, R11, R12</t>
  </si>
  <si>
    <t>RC0603FR-0733RL</t>
  </si>
  <si>
    <t>330R</t>
  </si>
  <si>
    <t>RES  SMD 330R 100 mW 0603</t>
  </si>
  <si>
    <t>R7</t>
  </si>
  <si>
    <t>RC0603JR-07330RL</t>
  </si>
  <si>
    <t>1K</t>
  </si>
  <si>
    <t>RES SMD 1K OHM 1% 1/10W 0603</t>
  </si>
  <si>
    <t>R8, R17, R40</t>
  </si>
  <si>
    <t>RC0603FR-071KL</t>
  </si>
  <si>
    <t>12.1K</t>
  </si>
  <si>
    <t>RES SMD 12.1K OHM 1/10W 0603</t>
  </si>
  <si>
    <t>R13</t>
  </si>
  <si>
    <t>RT0603CRD0712K1L</t>
  </si>
  <si>
    <t>100R</t>
  </si>
  <si>
    <t>RES SMD 100 OHM 1% 1/10W 0603</t>
  </si>
  <si>
    <t>R18, R19</t>
  </si>
  <si>
    <t>RC0603FR-07100RL</t>
  </si>
  <si>
    <t>470R</t>
  </si>
  <si>
    <t>RES SMD 470 OHM 1% 1/10W 0603</t>
  </si>
  <si>
    <t>R20</t>
  </si>
  <si>
    <t>RC0603FR-07470RL</t>
  </si>
  <si>
    <t>Solder Bridge</t>
  </si>
  <si>
    <t>Solder Bridge ON</t>
  </si>
  <si>
    <t>SB1, SB4, SB5, SB6, SB7</t>
  </si>
  <si>
    <t>B3U-1000P</t>
  </si>
  <si>
    <t>SWITCH TACTILE SPST-NO 0.05A 12V</t>
  </si>
  <si>
    <t>SW1</t>
  </si>
  <si>
    <t>Omron</t>
  </si>
  <si>
    <t>LAN9255/ZMX019</t>
  </si>
  <si>
    <t>IC ETHERCAT SLAVE CONTROLLER</t>
  </si>
  <si>
    <t>U1</t>
  </si>
  <si>
    <t>Microchip</t>
  </si>
  <si>
    <t>LAN9255-I/ZMX019</t>
  </si>
  <si>
    <t>CAT24C256WI-GT3</t>
  </si>
  <si>
    <t>IC EEPROM 256KBIT I2C 1MHZ 8SOIC</t>
  </si>
  <si>
    <t>U2</t>
  </si>
  <si>
    <t>ON Semiconductor</t>
  </si>
  <si>
    <t>TXB0102DCUT</t>
  </si>
  <si>
    <t>IC TRNSLTR BIDIRECTIONAL US8</t>
  </si>
  <si>
    <t>U3</t>
  </si>
  <si>
    <t>Texas Instruments</t>
  </si>
  <si>
    <t>TLE5012BE5000FUMA1</t>
  </si>
  <si>
    <t>MAGNETIC ANGLE SENSOR</t>
  </si>
  <si>
    <t>U4</t>
  </si>
  <si>
    <t>Infineon</t>
  </si>
  <si>
    <t>TLE5012BE5000</t>
  </si>
  <si>
    <t>C3E-25.000-8-1015-X-M</t>
  </si>
  <si>
    <t>CRYSTAL 25.0000MHZ 8PF SMD</t>
  </si>
  <si>
    <t>X1</t>
  </si>
  <si>
    <t>Aker Technology USA</t>
  </si>
  <si>
    <t>CM8V-T1A-32.768KHZ-6PF-20PPM-TA-QC</t>
  </si>
  <si>
    <t>Crystal 32.768KHZ 6.0PF SMD</t>
  </si>
  <si>
    <t>X2</t>
  </si>
  <si>
    <t>Micro Crystal</t>
  </si>
  <si>
    <t>-</t>
  </si>
  <si>
    <t>MFP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</si>
</sst>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24292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9B00-65F6-4456-BD8A-5DEE96E1E9D2}">
  <dimension ref="A1:T28"/>
  <sheetViews>
    <sheetView tabSelected="1" topLeftCell="J1" workbookViewId="0">
      <selection activeCell="P10" sqref="P10"/>
    </sheetView>
  </sheetViews>
  <sheetFormatPr defaultRowHeight="15" x14ac:dyDescent="0.25"/>
  <cols>
    <col min="1" max="1" width="21.28515625" style="8" customWidth="1"/>
    <col min="2" max="2" width="30.7109375" customWidth="1"/>
    <col min="3" max="3" width="29.85546875" style="8" customWidth="1"/>
    <col min="4" max="4" width="27.42578125" style="8" customWidth="1"/>
    <col min="5" max="5" width="8.7109375" style="8" bestFit="1" customWidth="1"/>
    <col min="6" max="6" width="20" style="8" bestFit="1" customWidth="1"/>
    <col min="7" max="7" width="25.28515625" style="8" customWidth="1"/>
    <col min="11" max="11" width="10.5703125" bestFit="1" customWidth="1"/>
    <col min="12" max="12" width="25.28515625" bestFit="1" customWidth="1"/>
    <col min="17" max="17" width="10.5703125" style="4" bestFit="1" customWidth="1"/>
    <col min="18" max="18" width="9.5703125" style="4" bestFit="1" customWidth="1"/>
    <col min="19" max="19" width="11.42578125" style="4" bestFit="1" customWidth="1"/>
    <col min="20" max="20" width="8.7109375" style="4" bestFit="1" customWidth="1"/>
  </cols>
  <sheetData>
    <row r="1" spans="1:20" s="3" customFormat="1" ht="15.75" thickBot="1" x14ac:dyDescent="0.3">
      <c r="A1" s="5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K1" s="16" t="s">
        <v>2</v>
      </c>
      <c r="L1" s="19" t="s">
        <v>6</v>
      </c>
      <c r="M1" s="13" t="s">
        <v>0</v>
      </c>
      <c r="N1" s="10" t="s">
        <v>4</v>
      </c>
      <c r="Q1" s="22" t="s">
        <v>2</v>
      </c>
      <c r="R1" s="22" t="s">
        <v>126</v>
      </c>
      <c r="S1" s="22" t="s">
        <v>0</v>
      </c>
      <c r="T1" s="22" t="s">
        <v>4</v>
      </c>
    </row>
    <row r="2" spans="1:20" ht="24" x14ac:dyDescent="0.25">
      <c r="A2" s="7" t="s">
        <v>7</v>
      </c>
      <c r="B2" s="1" t="s">
        <v>8</v>
      </c>
      <c r="C2" s="7" t="s">
        <v>9</v>
      </c>
      <c r="D2" s="7" t="s">
        <v>10</v>
      </c>
      <c r="E2" s="6">
        <v>4</v>
      </c>
      <c r="F2" s="7" t="s">
        <v>11</v>
      </c>
      <c r="G2" s="7" t="s">
        <v>12</v>
      </c>
      <c r="K2" s="17" t="s">
        <v>9</v>
      </c>
      <c r="L2" s="20" t="s">
        <v>12</v>
      </c>
      <c r="M2" s="14" t="s">
        <v>7</v>
      </c>
      <c r="N2" s="11">
        <v>4</v>
      </c>
      <c r="Q2" s="8" t="str">
        <f>IF(K2=C2,"Match","Mismatch")</f>
        <v>Match</v>
      </c>
      <c r="R2" s="8" t="str">
        <f>IF(L2=G2,"Match","Mismatch")</f>
        <v>Match</v>
      </c>
      <c r="S2" s="23" t="str">
        <f>IF(M2=A2,"Match","Mismatch")</f>
        <v>Match</v>
      </c>
      <c r="T2" s="23" t="str">
        <f>IF(N2=E2,"Match","Mismatch")</f>
        <v>Match</v>
      </c>
    </row>
    <row r="3" spans="1:20" ht="132" x14ac:dyDescent="0.25">
      <c r="A3" s="7" t="s">
        <v>13</v>
      </c>
      <c r="B3" s="1" t="s">
        <v>14</v>
      </c>
      <c r="C3" s="9" t="s">
        <v>15</v>
      </c>
      <c r="D3" s="7" t="s">
        <v>16</v>
      </c>
      <c r="E3" s="6">
        <v>24</v>
      </c>
      <c r="F3" s="7" t="s">
        <v>17</v>
      </c>
      <c r="G3" s="7" t="s">
        <v>18</v>
      </c>
      <c r="K3" s="18" t="s">
        <v>15</v>
      </c>
      <c r="L3" s="21" t="s">
        <v>18</v>
      </c>
      <c r="M3" s="15" t="s">
        <v>13</v>
      </c>
      <c r="N3" s="12">
        <v>24</v>
      </c>
      <c r="Q3" s="8" t="str">
        <f t="shared" ref="Q3:Q28" si="0">IF(K3=C3,"Match","Mismatch")</f>
        <v>Match</v>
      </c>
      <c r="R3" s="8" t="str">
        <f t="shared" ref="R3:R28" si="1">IF(L3=G3,"Match","Mismatch")</f>
        <v>Match</v>
      </c>
      <c r="S3" s="23" t="str">
        <f t="shared" ref="S3:S28" si="2">IF(M3=A3,"Match","Mismatch")</f>
        <v>Match</v>
      </c>
      <c r="T3" s="23" t="str">
        <f t="shared" ref="T3:T28" si="3">IF(N3=E3,"Match","Mismatch")</f>
        <v>Match</v>
      </c>
    </row>
    <row r="4" spans="1:20" ht="16.5" x14ac:dyDescent="0.25">
      <c r="A4" s="7" t="s">
        <v>19</v>
      </c>
      <c r="B4" s="1" t="s">
        <v>20</v>
      </c>
      <c r="C4" s="7" t="s">
        <v>21</v>
      </c>
      <c r="D4" s="7" t="s">
        <v>10</v>
      </c>
      <c r="E4" s="6">
        <v>1</v>
      </c>
      <c r="F4" s="7" t="s">
        <v>11</v>
      </c>
      <c r="G4" s="7" t="s">
        <v>22</v>
      </c>
      <c r="K4" s="17" t="s">
        <v>21</v>
      </c>
      <c r="L4" s="20" t="s">
        <v>22</v>
      </c>
      <c r="M4" s="14" t="s">
        <v>19</v>
      </c>
      <c r="N4" s="11">
        <v>1</v>
      </c>
      <c r="Q4" s="8" t="str">
        <f t="shared" si="0"/>
        <v>Match</v>
      </c>
      <c r="R4" s="8" t="str">
        <f t="shared" si="1"/>
        <v>Match</v>
      </c>
      <c r="S4" s="23" t="str">
        <f t="shared" si="2"/>
        <v>Match</v>
      </c>
      <c r="T4" s="23" t="str">
        <f t="shared" si="3"/>
        <v>Match</v>
      </c>
    </row>
    <row r="5" spans="1:20" ht="16.5" x14ac:dyDescent="0.25">
      <c r="A5" s="7" t="s">
        <v>23</v>
      </c>
      <c r="B5" s="1" t="s">
        <v>24</v>
      </c>
      <c r="C5" s="7" t="s">
        <v>25</v>
      </c>
      <c r="D5" s="7" t="s">
        <v>16</v>
      </c>
      <c r="E5" s="6">
        <v>3</v>
      </c>
      <c r="F5" s="7" t="s">
        <v>26</v>
      </c>
      <c r="G5" s="7" t="s">
        <v>27</v>
      </c>
      <c r="K5" s="18" t="s">
        <v>25</v>
      </c>
      <c r="L5" s="21" t="s">
        <v>27</v>
      </c>
      <c r="M5" s="15" t="s">
        <v>23</v>
      </c>
      <c r="N5" s="12">
        <v>3</v>
      </c>
      <c r="Q5" s="8" t="str">
        <f t="shared" si="0"/>
        <v>Match</v>
      </c>
      <c r="R5" s="8" t="str">
        <f t="shared" si="1"/>
        <v>Match</v>
      </c>
      <c r="S5" s="23" t="str">
        <f t="shared" si="2"/>
        <v>Match</v>
      </c>
      <c r="T5" s="23" t="str">
        <f t="shared" si="3"/>
        <v>Match</v>
      </c>
    </row>
    <row r="6" spans="1:20" ht="24" x14ac:dyDescent="0.25">
      <c r="A6" s="7" t="s">
        <v>28</v>
      </c>
      <c r="B6" s="1" t="s">
        <v>29</v>
      </c>
      <c r="C6" s="7" t="s">
        <v>30</v>
      </c>
      <c r="D6" s="7" t="s">
        <v>16</v>
      </c>
      <c r="E6" s="6">
        <v>4</v>
      </c>
      <c r="F6" s="7" t="s">
        <v>31</v>
      </c>
      <c r="G6" s="7" t="s">
        <v>32</v>
      </c>
      <c r="K6" s="17" t="s">
        <v>30</v>
      </c>
      <c r="L6" s="20" t="s">
        <v>32</v>
      </c>
      <c r="M6" s="14" t="s">
        <v>28</v>
      </c>
      <c r="N6" s="11">
        <v>4</v>
      </c>
      <c r="Q6" s="8" t="str">
        <f t="shared" si="0"/>
        <v>Match</v>
      </c>
      <c r="R6" s="8" t="str">
        <f t="shared" si="1"/>
        <v>Match</v>
      </c>
      <c r="S6" s="23" t="str">
        <f t="shared" si="2"/>
        <v>Match</v>
      </c>
      <c r="T6" s="23" t="str">
        <f t="shared" si="3"/>
        <v>Match</v>
      </c>
    </row>
    <row r="7" spans="1:20" ht="16.5" x14ac:dyDescent="0.25">
      <c r="A7" s="7" t="s">
        <v>33</v>
      </c>
      <c r="B7" s="1" t="s">
        <v>34</v>
      </c>
      <c r="C7" s="7" t="s">
        <v>35</v>
      </c>
      <c r="D7" s="7" t="s">
        <v>36</v>
      </c>
      <c r="E7" s="6">
        <v>1</v>
      </c>
      <c r="F7" s="7" t="s">
        <v>37</v>
      </c>
      <c r="G7" s="7" t="s">
        <v>33</v>
      </c>
      <c r="K7" s="18" t="s">
        <v>35</v>
      </c>
      <c r="L7" s="21" t="s">
        <v>33</v>
      </c>
      <c r="M7" s="15" t="s">
        <v>125</v>
      </c>
      <c r="N7" s="12">
        <v>1</v>
      </c>
      <c r="Q7" s="8" t="str">
        <f t="shared" si="0"/>
        <v>Match</v>
      </c>
      <c r="R7" s="8" t="str">
        <f t="shared" si="1"/>
        <v>Match</v>
      </c>
      <c r="S7" s="23" t="str">
        <f t="shared" si="2"/>
        <v>Mismatch</v>
      </c>
      <c r="T7" s="23" t="str">
        <f t="shared" si="3"/>
        <v>Match</v>
      </c>
    </row>
    <row r="8" spans="1:20" ht="16.5" x14ac:dyDescent="0.25">
      <c r="A8" s="7" t="s">
        <v>33</v>
      </c>
      <c r="B8" s="1" t="s">
        <v>38</v>
      </c>
      <c r="C8" s="7" t="s">
        <v>39</v>
      </c>
      <c r="D8" s="7" t="s">
        <v>40</v>
      </c>
      <c r="E8" s="6">
        <v>1</v>
      </c>
      <c r="F8" s="7" t="s">
        <v>37</v>
      </c>
      <c r="G8" s="7" t="s">
        <v>33</v>
      </c>
      <c r="K8" s="17" t="s">
        <v>39</v>
      </c>
      <c r="L8" s="20" t="s">
        <v>33</v>
      </c>
      <c r="M8" s="14" t="s">
        <v>125</v>
      </c>
      <c r="N8" s="11">
        <v>1</v>
      </c>
      <c r="Q8" s="8" t="str">
        <f t="shared" si="0"/>
        <v>Match</v>
      </c>
      <c r="R8" s="8" t="str">
        <f t="shared" si="1"/>
        <v>Match</v>
      </c>
      <c r="S8" s="23" t="str">
        <f t="shared" si="2"/>
        <v>Mismatch</v>
      </c>
      <c r="T8" s="23" t="str">
        <f t="shared" si="3"/>
        <v>Match</v>
      </c>
    </row>
    <row r="9" spans="1:20" ht="16.5" x14ac:dyDescent="0.25">
      <c r="A9" s="7" t="s">
        <v>41</v>
      </c>
      <c r="B9" s="1" t="s">
        <v>42</v>
      </c>
      <c r="C9" s="7" t="s">
        <v>43</v>
      </c>
      <c r="D9" s="7" t="s">
        <v>41</v>
      </c>
      <c r="E9" s="6">
        <v>1</v>
      </c>
      <c r="F9" s="7" t="s">
        <v>44</v>
      </c>
      <c r="G9" s="7" t="s">
        <v>41</v>
      </c>
      <c r="K9" s="18" t="s">
        <v>43</v>
      </c>
      <c r="L9" s="21" t="s">
        <v>41</v>
      </c>
      <c r="M9" s="15" t="s">
        <v>125</v>
      </c>
      <c r="N9" s="12">
        <v>1</v>
      </c>
      <c r="Q9" s="8" t="str">
        <f t="shared" si="0"/>
        <v>Match</v>
      </c>
      <c r="R9" s="8" t="str">
        <f t="shared" si="1"/>
        <v>Match</v>
      </c>
      <c r="S9" s="23" t="str">
        <f t="shared" si="2"/>
        <v>Mismatch</v>
      </c>
      <c r="T9" s="23" t="str">
        <f t="shared" si="3"/>
        <v>Match</v>
      </c>
    </row>
    <row r="10" spans="1:20" ht="24" x14ac:dyDescent="0.25">
      <c r="A10" s="7" t="s">
        <v>45</v>
      </c>
      <c r="B10" s="1" t="s">
        <v>46</v>
      </c>
      <c r="C10" s="7" t="s">
        <v>47</v>
      </c>
      <c r="D10" s="7" t="s">
        <v>45</v>
      </c>
      <c r="E10" s="6">
        <v>5</v>
      </c>
      <c r="F10" s="7" t="s">
        <v>48</v>
      </c>
      <c r="G10" s="7" t="s">
        <v>45</v>
      </c>
      <c r="K10" s="17" t="s">
        <v>47</v>
      </c>
      <c r="L10" s="20" t="s">
        <v>45</v>
      </c>
      <c r="M10" s="14" t="s">
        <v>125</v>
      </c>
      <c r="N10" s="11">
        <v>5</v>
      </c>
      <c r="Q10" s="8" t="str">
        <f t="shared" si="0"/>
        <v>Match</v>
      </c>
      <c r="R10" s="8" t="str">
        <f t="shared" si="1"/>
        <v>Match</v>
      </c>
      <c r="S10" s="23" t="str">
        <f t="shared" si="2"/>
        <v>Mismatch</v>
      </c>
      <c r="T10" s="23" t="str">
        <f t="shared" si="3"/>
        <v>Match</v>
      </c>
    </row>
    <row r="11" spans="1:20" ht="16.5" x14ac:dyDescent="0.25">
      <c r="A11" s="7" t="s">
        <v>49</v>
      </c>
      <c r="B11" s="1" t="s">
        <v>50</v>
      </c>
      <c r="C11" s="7" t="s">
        <v>51</v>
      </c>
      <c r="D11" s="7" t="s">
        <v>52</v>
      </c>
      <c r="E11" s="6">
        <v>1</v>
      </c>
      <c r="F11" s="7" t="s">
        <v>53</v>
      </c>
      <c r="G11" s="7" t="s">
        <v>49</v>
      </c>
      <c r="K11" s="18" t="s">
        <v>51</v>
      </c>
      <c r="L11" s="21" t="s">
        <v>49</v>
      </c>
      <c r="M11" s="15" t="s">
        <v>125</v>
      </c>
      <c r="N11" s="12">
        <v>1</v>
      </c>
      <c r="Q11" s="8" t="str">
        <f t="shared" si="0"/>
        <v>Match</v>
      </c>
      <c r="R11" s="8" t="str">
        <f t="shared" si="1"/>
        <v>Match</v>
      </c>
      <c r="S11" s="23" t="str">
        <f t="shared" si="2"/>
        <v>Mismatch</v>
      </c>
      <c r="T11" s="23" t="str">
        <f t="shared" si="3"/>
        <v>Match</v>
      </c>
    </row>
    <row r="12" spans="1:20" ht="24" x14ac:dyDescent="0.25">
      <c r="A12" s="7" t="s">
        <v>54</v>
      </c>
      <c r="B12" s="1" t="s">
        <v>55</v>
      </c>
      <c r="C12" s="7" t="s">
        <v>56</v>
      </c>
      <c r="D12" s="7" t="s">
        <v>57</v>
      </c>
      <c r="E12" s="6">
        <v>3</v>
      </c>
      <c r="F12" s="7" t="s">
        <v>58</v>
      </c>
      <c r="G12" s="7" t="s">
        <v>54</v>
      </c>
      <c r="K12" s="17" t="s">
        <v>56</v>
      </c>
      <c r="L12" s="20" t="s">
        <v>54</v>
      </c>
      <c r="M12" s="14" t="s">
        <v>125</v>
      </c>
      <c r="N12" s="11">
        <v>3</v>
      </c>
      <c r="Q12" s="8" t="str">
        <f t="shared" si="0"/>
        <v>Match</v>
      </c>
      <c r="R12" s="8" t="str">
        <f t="shared" si="1"/>
        <v>Match</v>
      </c>
      <c r="S12" s="23" t="str">
        <f t="shared" si="2"/>
        <v>Mismatch</v>
      </c>
      <c r="T12" s="23" t="str">
        <f t="shared" si="3"/>
        <v>Match</v>
      </c>
    </row>
    <row r="13" spans="1:20" ht="16.5" x14ac:dyDescent="0.25">
      <c r="A13" s="7" t="s">
        <v>59</v>
      </c>
      <c r="B13" s="1" t="s">
        <v>60</v>
      </c>
      <c r="C13" s="7" t="s">
        <v>61</v>
      </c>
      <c r="D13" s="7" t="s">
        <v>62</v>
      </c>
      <c r="E13" s="6">
        <v>3</v>
      </c>
      <c r="F13" s="6"/>
      <c r="G13" s="6"/>
      <c r="K13" s="18" t="s">
        <v>61</v>
      </c>
      <c r="L13" s="21" t="s">
        <v>59</v>
      </c>
      <c r="M13" s="15" t="s">
        <v>59</v>
      </c>
      <c r="N13" s="12">
        <v>3</v>
      </c>
      <c r="Q13" s="8" t="str">
        <f t="shared" si="0"/>
        <v>Match</v>
      </c>
      <c r="R13" s="8" t="str">
        <f t="shared" si="1"/>
        <v>Mismatch</v>
      </c>
      <c r="S13" s="23" t="str">
        <f t="shared" si="2"/>
        <v>Match</v>
      </c>
      <c r="T13" s="23" t="str">
        <f t="shared" si="3"/>
        <v>Match</v>
      </c>
    </row>
    <row r="14" spans="1:20" ht="60" x14ac:dyDescent="0.25">
      <c r="A14" s="7" t="s">
        <v>63</v>
      </c>
      <c r="B14" s="1" t="s">
        <v>64</v>
      </c>
      <c r="C14" s="9" t="s">
        <v>65</v>
      </c>
      <c r="D14" s="7" t="s">
        <v>66</v>
      </c>
      <c r="E14" s="6">
        <v>12</v>
      </c>
      <c r="F14" s="7" t="s">
        <v>17</v>
      </c>
      <c r="G14" s="7" t="s">
        <v>67</v>
      </c>
      <c r="K14" s="17" t="s">
        <v>65</v>
      </c>
      <c r="L14" s="20" t="s">
        <v>67</v>
      </c>
      <c r="M14" s="14" t="s">
        <v>63</v>
      </c>
      <c r="N14" s="11">
        <v>12</v>
      </c>
      <c r="Q14" s="8" t="str">
        <f t="shared" si="0"/>
        <v>Match</v>
      </c>
      <c r="R14" s="8" t="str">
        <f t="shared" si="1"/>
        <v>Match</v>
      </c>
      <c r="S14" s="23" t="str">
        <f t="shared" si="2"/>
        <v>Match</v>
      </c>
      <c r="T14" s="23" t="str">
        <f t="shared" si="3"/>
        <v>Match</v>
      </c>
    </row>
    <row r="15" spans="1:20" ht="16.5" x14ac:dyDescent="0.25">
      <c r="A15" s="7" t="s">
        <v>68</v>
      </c>
      <c r="B15" s="1" t="s">
        <v>69</v>
      </c>
      <c r="C15" s="7" t="s">
        <v>70</v>
      </c>
      <c r="D15" s="7" t="s">
        <v>66</v>
      </c>
      <c r="E15" s="6">
        <v>3</v>
      </c>
      <c r="F15" s="7" t="s">
        <v>17</v>
      </c>
      <c r="G15" s="7" t="s">
        <v>71</v>
      </c>
      <c r="K15" s="18" t="s">
        <v>70</v>
      </c>
      <c r="L15" s="21" t="s">
        <v>71</v>
      </c>
      <c r="M15" s="15" t="s">
        <v>68</v>
      </c>
      <c r="N15" s="12">
        <v>3</v>
      </c>
      <c r="Q15" s="8" t="str">
        <f t="shared" si="0"/>
        <v>Match</v>
      </c>
      <c r="R15" s="8" t="str">
        <f t="shared" si="1"/>
        <v>Match</v>
      </c>
      <c r="S15" s="23" t="str">
        <f t="shared" si="2"/>
        <v>Match</v>
      </c>
      <c r="T15" s="23" t="str">
        <f t="shared" si="3"/>
        <v>Match</v>
      </c>
    </row>
    <row r="16" spans="1:20" ht="16.5" x14ac:dyDescent="0.25">
      <c r="A16" s="7" t="s">
        <v>72</v>
      </c>
      <c r="B16" s="1" t="s">
        <v>73</v>
      </c>
      <c r="C16" s="7" t="s">
        <v>74</v>
      </c>
      <c r="D16" s="7" t="s">
        <v>66</v>
      </c>
      <c r="E16" s="6">
        <v>1</v>
      </c>
      <c r="F16" s="7" t="s">
        <v>17</v>
      </c>
      <c r="G16" s="7" t="s">
        <v>75</v>
      </c>
      <c r="K16" s="17" t="s">
        <v>74</v>
      </c>
      <c r="L16" s="20" t="s">
        <v>75</v>
      </c>
      <c r="M16" s="14" t="s">
        <v>72</v>
      </c>
      <c r="N16" s="11">
        <v>1</v>
      </c>
      <c r="Q16" s="8" t="str">
        <f t="shared" si="0"/>
        <v>Match</v>
      </c>
      <c r="R16" s="8" t="str">
        <f t="shared" si="1"/>
        <v>Match</v>
      </c>
      <c r="S16" s="23" t="str">
        <f t="shared" si="2"/>
        <v>Match</v>
      </c>
      <c r="T16" s="23" t="str">
        <f t="shared" si="3"/>
        <v>Match</v>
      </c>
    </row>
    <row r="17" spans="1:20" ht="16.5" x14ac:dyDescent="0.25">
      <c r="A17" s="7" t="s">
        <v>76</v>
      </c>
      <c r="B17" s="1" t="s">
        <v>77</v>
      </c>
      <c r="C17" s="7" t="s">
        <v>78</v>
      </c>
      <c r="D17" s="7" t="s">
        <v>66</v>
      </c>
      <c r="E17" s="6">
        <v>3</v>
      </c>
      <c r="F17" s="7" t="s">
        <v>17</v>
      </c>
      <c r="G17" s="7" t="s">
        <v>79</v>
      </c>
      <c r="K17" s="18" t="s">
        <v>78</v>
      </c>
      <c r="L17" s="21" t="s">
        <v>79</v>
      </c>
      <c r="M17" s="15" t="s">
        <v>76</v>
      </c>
      <c r="N17" s="12">
        <v>3</v>
      </c>
      <c r="Q17" s="8" t="str">
        <f t="shared" si="0"/>
        <v>Match</v>
      </c>
      <c r="R17" s="8" t="str">
        <f t="shared" si="1"/>
        <v>Match</v>
      </c>
      <c r="S17" s="23" t="str">
        <f t="shared" si="2"/>
        <v>Match</v>
      </c>
      <c r="T17" s="23" t="str">
        <f t="shared" si="3"/>
        <v>Match</v>
      </c>
    </row>
    <row r="18" spans="1:20" ht="16.5" x14ac:dyDescent="0.25">
      <c r="A18" s="7" t="s">
        <v>80</v>
      </c>
      <c r="B18" s="1" t="s">
        <v>81</v>
      </c>
      <c r="C18" s="7" t="s">
        <v>82</v>
      </c>
      <c r="D18" s="7" t="s">
        <v>66</v>
      </c>
      <c r="E18" s="6">
        <v>1</v>
      </c>
      <c r="F18" s="7" t="s">
        <v>17</v>
      </c>
      <c r="G18" s="7" t="s">
        <v>83</v>
      </c>
      <c r="K18" s="17" t="s">
        <v>82</v>
      </c>
      <c r="L18" s="20" t="s">
        <v>83</v>
      </c>
      <c r="M18" s="14" t="s">
        <v>80</v>
      </c>
      <c r="N18" s="11">
        <v>1</v>
      </c>
      <c r="Q18" s="8" t="str">
        <f t="shared" si="0"/>
        <v>Match</v>
      </c>
      <c r="R18" s="8" t="str">
        <f t="shared" si="1"/>
        <v>Match</v>
      </c>
      <c r="S18" s="23" t="str">
        <f t="shared" si="2"/>
        <v>Match</v>
      </c>
      <c r="T18" s="23" t="str">
        <f t="shared" si="3"/>
        <v>Match</v>
      </c>
    </row>
    <row r="19" spans="1:20" ht="16.5" x14ac:dyDescent="0.25">
      <c r="A19" s="7" t="s">
        <v>84</v>
      </c>
      <c r="B19" s="1" t="s">
        <v>85</v>
      </c>
      <c r="C19" s="7" t="s">
        <v>86</v>
      </c>
      <c r="D19" s="7" t="s">
        <v>66</v>
      </c>
      <c r="E19" s="6">
        <v>2</v>
      </c>
      <c r="F19" s="7" t="s">
        <v>17</v>
      </c>
      <c r="G19" s="7" t="s">
        <v>87</v>
      </c>
      <c r="K19" s="18" t="s">
        <v>86</v>
      </c>
      <c r="L19" s="21" t="s">
        <v>87</v>
      </c>
      <c r="M19" s="15" t="s">
        <v>84</v>
      </c>
      <c r="N19" s="12">
        <v>2</v>
      </c>
      <c r="Q19" s="8" t="str">
        <f t="shared" si="0"/>
        <v>Match</v>
      </c>
      <c r="R19" s="8" t="str">
        <f t="shared" si="1"/>
        <v>Match</v>
      </c>
      <c r="S19" s="23" t="str">
        <f t="shared" si="2"/>
        <v>Match</v>
      </c>
      <c r="T19" s="23" t="str">
        <f t="shared" si="3"/>
        <v>Match</v>
      </c>
    </row>
    <row r="20" spans="1:20" ht="16.5" x14ac:dyDescent="0.25">
      <c r="A20" s="7" t="s">
        <v>88</v>
      </c>
      <c r="B20" s="1" t="s">
        <v>89</v>
      </c>
      <c r="C20" s="7" t="s">
        <v>90</v>
      </c>
      <c r="D20" s="7" t="s">
        <v>66</v>
      </c>
      <c r="E20" s="6">
        <v>1</v>
      </c>
      <c r="F20" s="7" t="s">
        <v>17</v>
      </c>
      <c r="G20" s="7" t="s">
        <v>91</v>
      </c>
      <c r="K20" s="17" t="s">
        <v>90</v>
      </c>
      <c r="L20" s="20" t="s">
        <v>91</v>
      </c>
      <c r="M20" s="14" t="s">
        <v>88</v>
      </c>
      <c r="N20" s="11">
        <v>1</v>
      </c>
      <c r="Q20" s="8" t="str">
        <f t="shared" si="0"/>
        <v>Match</v>
      </c>
      <c r="R20" s="8" t="str">
        <f t="shared" si="1"/>
        <v>Match</v>
      </c>
      <c r="S20" s="23" t="str">
        <f t="shared" si="2"/>
        <v>Match</v>
      </c>
      <c r="T20" s="23" t="str">
        <f t="shared" si="3"/>
        <v>Match</v>
      </c>
    </row>
    <row r="21" spans="1:20" ht="36" x14ac:dyDescent="0.25">
      <c r="A21" s="7" t="s">
        <v>92</v>
      </c>
      <c r="B21" s="1" t="s">
        <v>93</v>
      </c>
      <c r="C21" s="7" t="s">
        <v>94</v>
      </c>
      <c r="D21" s="7" t="s">
        <v>92</v>
      </c>
      <c r="E21" s="6">
        <v>5</v>
      </c>
      <c r="F21" s="6"/>
      <c r="G21" s="6"/>
      <c r="K21" s="18" t="s">
        <v>94</v>
      </c>
      <c r="L21" s="21" t="s">
        <v>125</v>
      </c>
      <c r="M21" s="15" t="s">
        <v>92</v>
      </c>
      <c r="N21" s="12">
        <v>5</v>
      </c>
      <c r="Q21" s="8" t="str">
        <f t="shared" si="0"/>
        <v>Match</v>
      </c>
      <c r="R21" s="8" t="str">
        <f t="shared" si="1"/>
        <v>Mismatch</v>
      </c>
      <c r="S21" s="23" t="str">
        <f t="shared" si="2"/>
        <v>Match</v>
      </c>
      <c r="T21" s="23" t="str">
        <f t="shared" si="3"/>
        <v>Match</v>
      </c>
    </row>
    <row r="22" spans="1:20" ht="16.5" x14ac:dyDescent="0.25">
      <c r="A22" s="7" t="s">
        <v>95</v>
      </c>
      <c r="B22" s="1" t="s">
        <v>96</v>
      </c>
      <c r="C22" s="7" t="s">
        <v>97</v>
      </c>
      <c r="D22" s="7" t="s">
        <v>95</v>
      </c>
      <c r="E22" s="6">
        <v>1</v>
      </c>
      <c r="F22" s="7" t="s">
        <v>98</v>
      </c>
      <c r="G22" s="7" t="s">
        <v>95</v>
      </c>
      <c r="K22" s="17" t="s">
        <v>97</v>
      </c>
      <c r="L22" s="20" t="s">
        <v>95</v>
      </c>
      <c r="M22" s="14" t="s">
        <v>125</v>
      </c>
      <c r="N22" s="11">
        <v>1</v>
      </c>
      <c r="Q22" s="8" t="str">
        <f t="shared" si="0"/>
        <v>Match</v>
      </c>
      <c r="R22" s="8" t="str">
        <f t="shared" si="1"/>
        <v>Match</v>
      </c>
      <c r="S22" s="23" t="str">
        <f t="shared" si="2"/>
        <v>Mismatch</v>
      </c>
      <c r="T22" s="23" t="str">
        <f t="shared" si="3"/>
        <v>Match</v>
      </c>
    </row>
    <row r="23" spans="1:20" ht="16.5" x14ac:dyDescent="0.25">
      <c r="A23" s="7" t="s">
        <v>99</v>
      </c>
      <c r="B23" s="1" t="s">
        <v>100</v>
      </c>
      <c r="C23" s="7" t="s">
        <v>101</v>
      </c>
      <c r="D23" s="7" t="s">
        <v>99</v>
      </c>
      <c r="E23" s="6">
        <v>1</v>
      </c>
      <c r="F23" s="7" t="s">
        <v>102</v>
      </c>
      <c r="G23" s="7" t="s">
        <v>103</v>
      </c>
      <c r="K23" s="18" t="s">
        <v>101</v>
      </c>
      <c r="L23" s="21" t="s">
        <v>103</v>
      </c>
      <c r="M23" s="15" t="s">
        <v>125</v>
      </c>
      <c r="N23" s="12">
        <v>1</v>
      </c>
      <c r="Q23" s="8" t="str">
        <f t="shared" si="0"/>
        <v>Match</v>
      </c>
      <c r="R23" s="8" t="str">
        <f t="shared" si="1"/>
        <v>Match</v>
      </c>
      <c r="S23" s="23" t="str">
        <f t="shared" si="2"/>
        <v>Mismatch</v>
      </c>
      <c r="T23" s="23" t="str">
        <f t="shared" si="3"/>
        <v>Match</v>
      </c>
    </row>
    <row r="24" spans="1:20" ht="16.5" x14ac:dyDescent="0.25">
      <c r="A24" s="7" t="s">
        <v>104</v>
      </c>
      <c r="B24" s="1" t="s">
        <v>105</v>
      </c>
      <c r="C24" s="7" t="s">
        <v>106</v>
      </c>
      <c r="D24" s="7" t="s">
        <v>104</v>
      </c>
      <c r="E24" s="6">
        <v>1</v>
      </c>
      <c r="F24" s="7" t="s">
        <v>107</v>
      </c>
      <c r="G24" s="7" t="s">
        <v>104</v>
      </c>
      <c r="K24" s="17" t="s">
        <v>106</v>
      </c>
      <c r="L24" s="20" t="s">
        <v>104</v>
      </c>
      <c r="M24" s="14" t="s">
        <v>125</v>
      </c>
      <c r="N24" s="11">
        <v>1</v>
      </c>
      <c r="Q24" s="8" t="str">
        <f t="shared" si="0"/>
        <v>Match</v>
      </c>
      <c r="R24" s="8" t="str">
        <f t="shared" si="1"/>
        <v>Match</v>
      </c>
      <c r="S24" s="23" t="str">
        <f t="shared" si="2"/>
        <v>Mismatch</v>
      </c>
      <c r="T24" s="23" t="str">
        <f t="shared" si="3"/>
        <v>Match</v>
      </c>
    </row>
    <row r="25" spans="1:20" ht="16.5" x14ac:dyDescent="0.25">
      <c r="A25" s="7" t="s">
        <v>108</v>
      </c>
      <c r="B25" s="1" t="s">
        <v>109</v>
      </c>
      <c r="C25" s="7" t="s">
        <v>110</v>
      </c>
      <c r="D25" s="7" t="s">
        <v>108</v>
      </c>
      <c r="E25" s="6">
        <v>1</v>
      </c>
      <c r="F25" s="7" t="s">
        <v>111</v>
      </c>
      <c r="G25" s="7" t="s">
        <v>108</v>
      </c>
      <c r="K25" s="18" t="s">
        <v>110</v>
      </c>
      <c r="L25" s="21" t="s">
        <v>108</v>
      </c>
      <c r="M25" s="15" t="s">
        <v>125</v>
      </c>
      <c r="N25" s="12">
        <v>1</v>
      </c>
      <c r="Q25" s="8" t="str">
        <f t="shared" si="0"/>
        <v>Match</v>
      </c>
      <c r="R25" s="8" t="str">
        <f t="shared" si="1"/>
        <v>Match</v>
      </c>
      <c r="S25" s="23" t="str">
        <f t="shared" si="2"/>
        <v>Mismatch</v>
      </c>
      <c r="T25" s="23" t="str">
        <f t="shared" si="3"/>
        <v>Match</v>
      </c>
    </row>
    <row r="26" spans="1:20" ht="16.5" x14ac:dyDescent="0.25">
      <c r="A26" s="7" t="s">
        <v>112</v>
      </c>
      <c r="B26" s="1" t="s">
        <v>113</v>
      </c>
      <c r="C26" s="7" t="s">
        <v>114</v>
      </c>
      <c r="D26" s="7" t="s">
        <v>112</v>
      </c>
      <c r="E26" s="6">
        <v>1</v>
      </c>
      <c r="F26" s="7" t="s">
        <v>115</v>
      </c>
      <c r="G26" s="7" t="s">
        <v>116</v>
      </c>
      <c r="K26" s="17" t="s">
        <v>114</v>
      </c>
      <c r="L26" s="20" t="s">
        <v>116</v>
      </c>
      <c r="M26" s="14" t="s">
        <v>125</v>
      </c>
      <c r="N26" s="11">
        <v>1</v>
      </c>
      <c r="Q26" s="8" t="str">
        <f t="shared" si="0"/>
        <v>Match</v>
      </c>
      <c r="R26" s="8" t="str">
        <f t="shared" si="1"/>
        <v>Match</v>
      </c>
      <c r="S26" s="23" t="str">
        <f t="shared" si="2"/>
        <v>Mismatch</v>
      </c>
      <c r="T26" s="23" t="str">
        <f t="shared" si="3"/>
        <v>Match</v>
      </c>
    </row>
    <row r="27" spans="1:20" ht="16.5" x14ac:dyDescent="0.25">
      <c r="A27" s="7" t="s">
        <v>117</v>
      </c>
      <c r="B27" s="1" t="s">
        <v>118</v>
      </c>
      <c r="C27" s="7" t="s">
        <v>119</v>
      </c>
      <c r="D27" s="7" t="s">
        <v>117</v>
      </c>
      <c r="E27" s="6">
        <v>1</v>
      </c>
      <c r="F27" s="7" t="s">
        <v>120</v>
      </c>
      <c r="G27" s="7" t="s">
        <v>117</v>
      </c>
      <c r="K27" s="18" t="s">
        <v>119</v>
      </c>
      <c r="L27" s="21" t="s">
        <v>117</v>
      </c>
      <c r="M27" s="15" t="s">
        <v>125</v>
      </c>
      <c r="N27" s="12">
        <v>1</v>
      </c>
      <c r="Q27" s="8" t="str">
        <f t="shared" si="0"/>
        <v>Match</v>
      </c>
      <c r="R27" s="8" t="str">
        <f t="shared" si="1"/>
        <v>Match</v>
      </c>
      <c r="S27" s="23" t="str">
        <f t="shared" si="2"/>
        <v>Mismatch</v>
      </c>
      <c r="T27" s="23" t="str">
        <f t="shared" si="3"/>
        <v>Match</v>
      </c>
    </row>
    <row r="28" spans="1:20" ht="30" x14ac:dyDescent="0.25">
      <c r="A28" s="9" t="s">
        <v>121</v>
      </c>
      <c r="B28" s="1" t="s">
        <v>122</v>
      </c>
      <c r="C28" s="7" t="s">
        <v>123</v>
      </c>
      <c r="D28" s="9" t="s">
        <v>121</v>
      </c>
      <c r="E28" s="6">
        <v>1</v>
      </c>
      <c r="F28" s="7" t="s">
        <v>124</v>
      </c>
      <c r="G28" s="9" t="s">
        <v>121</v>
      </c>
      <c r="K28" s="17" t="s">
        <v>123</v>
      </c>
      <c r="L28" s="20" t="s">
        <v>121</v>
      </c>
      <c r="M28" s="14" t="s">
        <v>125</v>
      </c>
      <c r="N28" s="11">
        <v>1</v>
      </c>
      <c r="Q28" s="8" t="str">
        <f t="shared" si="0"/>
        <v>Match</v>
      </c>
      <c r="R28" s="8" t="str">
        <f t="shared" si="1"/>
        <v>Match</v>
      </c>
      <c r="S28" s="23" t="str">
        <f t="shared" si="2"/>
        <v>Mismatch</v>
      </c>
      <c r="T28" s="23" t="str">
        <f t="shared" si="3"/>
        <v>Match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 Generated BOM Control_Bo</vt:lpstr>
      <vt:lpstr>'Altium Generated BOM Control_Bo'!Print_Titles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2022-08-23T15:59:01Z</dcterms:created>
  <dcterms:modified xsi:type="dcterms:W3CDTF">2022-08-23T16:39:30Z</dcterms:modified>
</cp:coreProperties>
</file>