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Faizan\GitHub\ChristianRaun-EthercatDesign\Design-Files\ControlBoard-DesignFiles\Project Outputs for Control_Board\"/>
    </mc:Choice>
  </mc:AlternateContent>
  <bookViews>
    <workbookView xWindow="-120" yWindow="-120" windowWidth="29040" windowHeight="1584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6" i="1" l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 l="1"/>
  <c r="B10" i="1"/>
</calcChain>
</file>

<file path=xl/sharedStrings.xml><?xml version="1.0" encoding="utf-8"?>
<sst xmlns="http://schemas.openxmlformats.org/spreadsheetml/2006/main" count="183" uniqueCount="140">
  <si>
    <t>Component list</t>
  </si>
  <si>
    <t>Source Data From:</t>
  </si>
  <si>
    <t>Project:</t>
  </si>
  <si>
    <t>Variant:</t>
  </si>
  <si>
    <t>#</t>
  </si>
  <si>
    <t>Approved</t>
  </si>
  <si>
    <t>Notes</t>
  </si>
  <si>
    <t>None</t>
  </si>
  <si>
    <t>#Column Name Error:' Item Type</t>
  </si>
  <si>
    <t>Designator</t>
  </si>
  <si>
    <t>C1, C3, C5, C26</t>
  </si>
  <si>
    <t>C2, C4, C6, C7, C8, C9, C10, C11, C12, C13, C14, C15, C16, C20, C21, C22, C23, C24, C25, C30, C31, C34, C35, C41</t>
  </si>
  <si>
    <t>C17</t>
  </si>
  <si>
    <t>C18, C19, C29</t>
  </si>
  <si>
    <t>C27, C28, C32, C33</t>
  </si>
  <si>
    <t>J1</t>
  </si>
  <si>
    <t>J2</t>
  </si>
  <si>
    <t>J3</t>
  </si>
  <si>
    <t>L1, L2, L3, L4, L5</t>
  </si>
  <si>
    <t>L6</t>
  </si>
  <si>
    <t>LED1, LED2, LED3</t>
  </si>
  <si>
    <t>P1, P5, P6</t>
  </si>
  <si>
    <t>R1, R2, R3, R4, R5, R9, R14, R15, R16, R23, R41, R42</t>
  </si>
  <si>
    <t>R6, R11, R12</t>
  </si>
  <si>
    <t>R7</t>
  </si>
  <si>
    <t>R8, R17, R40</t>
  </si>
  <si>
    <t>R13</t>
  </si>
  <si>
    <t>R18, R19</t>
  </si>
  <si>
    <t>R20</t>
  </si>
  <si>
    <t>SB1, SB4, SB5, SB6, SB7</t>
  </si>
  <si>
    <t>SW1</t>
  </si>
  <si>
    <t>U1</t>
  </si>
  <si>
    <t>U2</t>
  </si>
  <si>
    <t>U3</t>
  </si>
  <si>
    <t>U4</t>
  </si>
  <si>
    <t>X1</t>
  </si>
  <si>
    <t>X2</t>
  </si>
  <si>
    <t>Description</t>
  </si>
  <si>
    <t>CAP CER 1UF 100V X7S 0805</t>
  </si>
  <si>
    <t>CAP CER 0.1UF 100V X7R 0603</t>
  </si>
  <si>
    <t>CAP CER 10UF 50V X5R 0805</t>
  </si>
  <si>
    <t>CAP CER 4.7UF 25V X5R 0603</t>
  </si>
  <si>
    <t>CAP CER 10PF 50V C0G/NP0 0603</t>
  </si>
  <si>
    <t>5 POS 2.54mm Pin Header Male single row Right Angle SMD</t>
  </si>
  <si>
    <t>6 POS 2.54mm Pin Header Male single row Right Angle SMD</t>
  </si>
  <si>
    <t>CONN HEADER SMD 26POS 2.54MM</t>
  </si>
  <si>
    <t>200Ω @ 100MHz 1 1A 300mΩ 0603 Ferrite Beads</t>
  </si>
  <si>
    <t>IND SMD 10uH 500mA 0805</t>
  </si>
  <si>
    <t>Green 520~535nm 0402 Light Emitting Diodes (LED) RoHS</t>
  </si>
  <si>
    <t>Test Point ON</t>
  </si>
  <si>
    <t>RES SMD 10K OHM 5% 1/10W 0603</t>
  </si>
  <si>
    <t>RES SMD 0603 33 Ohm 1% 1/10W</t>
  </si>
  <si>
    <t>RES  SMD 330R 100 mW 0603</t>
  </si>
  <si>
    <t>RES SMD 1K OHM 1% 1/10W 0603</t>
  </si>
  <si>
    <t>RES SMD 12.1K OHM 1/10W 0603</t>
  </si>
  <si>
    <t>RES SMD 100 OHM 1% 1/10W 0603</t>
  </si>
  <si>
    <t>RES SMD 470 OHM 1% 1/10W 0603</t>
  </si>
  <si>
    <t>Solder Bridge ON</t>
  </si>
  <si>
    <t>SWITCH TACTILE SPST-NO 0.05A 12V</t>
  </si>
  <si>
    <t>IC ETHERCAT SLAVE CONTROLLER</t>
  </si>
  <si>
    <t>IC EEPROM 256KBIT I2C 1MHZ 8SOIC</t>
  </si>
  <si>
    <t>IC TRNSLTR BIDIRECTIONAL US8</t>
  </si>
  <si>
    <t>MAGNETIC ANGLE SENSOR</t>
  </si>
  <si>
    <t>CRYSTAL 25.0000MHZ 8PF SMD</t>
  </si>
  <si>
    <t>Crystal 32.768KHZ 6.0PF SMD</t>
  </si>
  <si>
    <t>Footprint</t>
  </si>
  <si>
    <t>Cap0805</t>
  </si>
  <si>
    <t>Cap0603</t>
  </si>
  <si>
    <t>HDR1X5 SMD</t>
  </si>
  <si>
    <t>HDR1X6 SMD</t>
  </si>
  <si>
    <t>95278-101A26LF</t>
  </si>
  <si>
    <t>MLB1608-201P1A(f)</t>
  </si>
  <si>
    <t>Ind0805</t>
  </si>
  <si>
    <t>LED 0402</t>
  </si>
  <si>
    <t>TEST POINT</t>
  </si>
  <si>
    <t>Res0603</t>
  </si>
  <si>
    <t>Solder Bridge</t>
  </si>
  <si>
    <t>B3U-1000P</t>
  </si>
  <si>
    <t>CAT24C256WI-GT3</t>
  </si>
  <si>
    <t>TXB0102DCUT</t>
  </si>
  <si>
    <t>C3E-25.000-8-1015-X-M</t>
  </si>
  <si>
    <t>CM8V-T1A-32.768KHZ-6PF-20PPM-TA-QC</t>
  </si>
  <si>
    <t>Manufacturer Part Number</t>
  </si>
  <si>
    <t>GCM21BC72A105KE36L</t>
  </si>
  <si>
    <t>CC0603KRX7R0BB104</t>
  </si>
  <si>
    <t>GRM21BR61H106ME43L</t>
  </si>
  <si>
    <t>C1608X5R1E475M080AC</t>
  </si>
  <si>
    <t>06035A100JAT2A/4K</t>
  </si>
  <si>
    <t>AC0603JR-0710KL</t>
  </si>
  <si>
    <t>RC0603FR-0733RL</t>
  </si>
  <si>
    <t>RC0603JR-07330RL</t>
  </si>
  <si>
    <t>RC0603FR-071KL</t>
  </si>
  <si>
    <t>RT0603CRD0712K1L</t>
  </si>
  <si>
    <t>RC0603FR-07100RL</t>
  </si>
  <si>
    <t>RC0603FR-07470RL</t>
  </si>
  <si>
    <t>LAN9255-I/ZMX019</t>
  </si>
  <si>
    <t>TLE5012BE5000</t>
  </si>
  <si>
    <t>Manufacturer</t>
  </si>
  <si>
    <t>Murata</t>
  </si>
  <si>
    <t>Yageo</t>
  </si>
  <si>
    <t>TDK</t>
  </si>
  <si>
    <t>Kyocera AVX</t>
  </si>
  <si>
    <t>RTLECS</t>
  </si>
  <si>
    <t>Amphenol ICC (FCI)</t>
  </si>
  <si>
    <t>Meled</t>
  </si>
  <si>
    <t>microgate</t>
  </si>
  <si>
    <t>Everlight Elec</t>
  </si>
  <si>
    <t>Omron</t>
  </si>
  <si>
    <t>Microchip</t>
  </si>
  <si>
    <t>ON Semiconductor</t>
  </si>
  <si>
    <t>Texas Instruments</t>
  </si>
  <si>
    <t>Infineon</t>
  </si>
  <si>
    <t>Aker Technology USA</t>
  </si>
  <si>
    <t>Micro Crystal</t>
  </si>
  <si>
    <t>Comment</t>
  </si>
  <si>
    <t>1uF</t>
  </si>
  <si>
    <t>0.1uF</t>
  </si>
  <si>
    <t>10uF</t>
  </si>
  <si>
    <t>4.7uF</t>
  </si>
  <si>
    <t>10pF</t>
  </si>
  <si>
    <t>PH254P1x12SMRA-100</t>
  </si>
  <si>
    <t>MGFL2012F100MT-LF</t>
  </si>
  <si>
    <t>16-213/GHC-YR1S1/3T</t>
  </si>
  <si>
    <t>Test Point</t>
  </si>
  <si>
    <t>10K</t>
  </si>
  <si>
    <t>33R</t>
  </si>
  <si>
    <t>330R</t>
  </si>
  <si>
    <t>1K</t>
  </si>
  <si>
    <t>12.1K</t>
  </si>
  <si>
    <t>100R</t>
  </si>
  <si>
    <t>470R</t>
  </si>
  <si>
    <t>Quantity</t>
  </si>
  <si>
    <t>#Column Name Error:' Quantity (5 Boards)</t>
  </si>
  <si>
    <t>#Column Name Error:' Remarks</t>
  </si>
  <si>
    <t>-</t>
  </si>
  <si>
    <t>Alternate</t>
  </si>
  <si>
    <t>Custom</t>
  </si>
  <si>
    <t>EtherCAT Product</t>
  </si>
  <si>
    <t>Bill of Materials for Project EtherCAT Product v2.0</t>
  </si>
  <si>
    <t>Control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</si>
</sst>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h:mm:ss\ AM/PM;@"/>
  </numFmts>
  <fonts count="18" x14ac:knownFonts="1">
    <font>
      <sz val="11"/>
      <color theme="1"/>
      <name val="Calibri"/>
      <family val="2"/>
      <scheme val="minor"/>
    </font>
    <font>
      <sz val="10"/>
      <color indexed="13"/>
      <name val="Arial"/>
    </font>
    <font>
      <b/>
      <sz val="24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0" xfId="0" applyFont="1" applyFill="1" applyBorder="1" applyAlignment="1"/>
    <xf numFmtId="0" fontId="1" fillId="2" borderId="1" xfId="0" applyFont="1" applyFill="1" applyBorder="1" applyAlignment="1"/>
    <xf numFmtId="0" fontId="6" fillId="3" borderId="11" xfId="0" applyFont="1" applyFill="1" applyBorder="1" applyAlignment="1">
      <alignment vertical="center"/>
    </xf>
    <xf numFmtId="0" fontId="7" fillId="3" borderId="0" xfId="0" applyFont="1" applyFill="1" applyBorder="1" applyAlignment="1"/>
    <xf numFmtId="0" fontId="8" fillId="3" borderId="5" xfId="0" applyFont="1" applyFill="1" applyBorder="1" applyAlignment="1"/>
    <xf numFmtId="0" fontId="8" fillId="3" borderId="6" xfId="0" applyFont="1" applyFill="1" applyBorder="1" applyAlignment="1"/>
    <xf numFmtId="0" fontId="9" fillId="3" borderId="0" xfId="0" applyFont="1" applyFill="1" applyBorder="1" applyAlignment="1"/>
    <xf numFmtId="0" fontId="10" fillId="3" borderId="3" xfId="0" applyNumberFormat="1" applyFont="1" applyFill="1" applyBorder="1" applyAlignment="1" applyProtection="1">
      <alignment horizontal="left" vertical="top"/>
      <protection locked="0"/>
    </xf>
    <xf numFmtId="0" fontId="11" fillId="3" borderId="3" xfId="0" applyNumberFormat="1" applyFont="1" applyFill="1" applyBorder="1" applyAlignment="1" applyProtection="1">
      <alignment horizontal="left" vertical="top"/>
      <protection locked="0"/>
    </xf>
    <xf numFmtId="0" fontId="13" fillId="3" borderId="10" xfId="0" applyFont="1" applyFill="1" applyBorder="1" applyAlignment="1">
      <alignment vertical="center"/>
    </xf>
    <xf numFmtId="0" fontId="14" fillId="3" borderId="11" xfId="0" applyFont="1" applyFill="1" applyBorder="1" applyAlignment="1">
      <alignment vertical="center"/>
    </xf>
    <xf numFmtId="0" fontId="10" fillId="3" borderId="0" xfId="0" applyFont="1" applyFill="1" applyBorder="1" applyAlignment="1"/>
    <xf numFmtId="0" fontId="12" fillId="3" borderId="6" xfId="0" applyFont="1" applyFill="1" applyBorder="1" applyAlignment="1"/>
    <xf numFmtId="0" fontId="12" fillId="3" borderId="5" xfId="0" applyFont="1" applyFill="1" applyBorder="1" applyAlignment="1"/>
    <xf numFmtId="0" fontId="10" fillId="3" borderId="5" xfId="0" applyFont="1" applyFill="1" applyBorder="1" applyAlignment="1"/>
    <xf numFmtId="0" fontId="12" fillId="3" borderId="5" xfId="0" applyFont="1" applyFill="1" applyBorder="1" applyAlignment="1">
      <alignment horizontal="left"/>
    </xf>
    <xf numFmtId="0" fontId="15" fillId="3" borderId="0" xfId="0" applyFont="1" applyFill="1" applyBorder="1" applyAlignment="1"/>
    <xf numFmtId="0" fontId="12" fillId="3" borderId="1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12" fillId="3" borderId="13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4" fillId="3" borderId="7" xfId="0" applyFont="1" applyFill="1" applyBorder="1" applyAlignment="1">
      <alignment horizontal="center"/>
    </xf>
    <xf numFmtId="0" fontId="12" fillId="3" borderId="0" xfId="0" applyFont="1" applyFill="1" applyBorder="1" applyAlignment="1"/>
    <xf numFmtId="164" fontId="12" fillId="3" borderId="0" xfId="0" applyNumberFormat="1" applyFont="1" applyFill="1" applyBorder="1" applyAlignment="1">
      <alignment horizontal="left"/>
    </xf>
    <xf numFmtId="0" fontId="16" fillId="5" borderId="14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10" fillId="3" borderId="9" xfId="0" applyNumberFormat="1" applyFont="1" applyFill="1" applyBorder="1" applyAlignment="1" applyProtection="1">
      <alignment horizontal="center" vertical="center"/>
      <protection locked="0"/>
    </xf>
    <xf numFmtId="0" fontId="10" fillId="3" borderId="10" xfId="0" applyNumberFormat="1" applyFont="1" applyFill="1" applyBorder="1" applyAlignment="1" applyProtection="1">
      <alignment vertical="center"/>
      <protection locked="0"/>
    </xf>
    <xf numFmtId="0" fontId="11" fillId="3" borderId="10" xfId="0" applyNumberFormat="1" applyFont="1" applyFill="1" applyBorder="1" applyAlignment="1" applyProtection="1">
      <alignment horizontal="left" vertical="center"/>
      <protection locked="0"/>
    </xf>
    <xf numFmtId="0" fontId="0" fillId="3" borderId="10" xfId="0" applyFont="1" applyFill="1" applyBorder="1" applyAlignment="1">
      <alignment vertical="center"/>
    </xf>
    <xf numFmtId="0" fontId="0" fillId="3" borderId="10" xfId="0" applyFont="1" applyFill="1" applyBorder="1"/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4" borderId="16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vertical="center"/>
    </xf>
    <xf numFmtId="0" fontId="0" fillId="3" borderId="8" xfId="0" applyFont="1" applyFill="1" applyBorder="1"/>
    <xf numFmtId="0" fontId="11" fillId="3" borderId="19" xfId="0" applyNumberFormat="1" applyFont="1" applyFill="1" applyBorder="1" applyAlignment="1" applyProtection="1">
      <alignment horizontal="left" vertical="top"/>
      <protection locked="0"/>
    </xf>
    <xf numFmtId="0" fontId="2" fillId="3" borderId="1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0" fontId="12" fillId="5" borderId="20" xfId="0" applyFont="1" applyFill="1" applyBorder="1" applyAlignment="1">
      <alignment horizontal="center" vertical="center" wrapText="1"/>
    </xf>
    <xf numFmtId="0" fontId="10" fillId="3" borderId="10" xfId="0" applyNumberFormat="1" applyFont="1" applyFill="1" applyBorder="1" applyAlignment="1" applyProtection="1">
      <alignment horizontal="center" vertical="center"/>
      <protection locked="0"/>
    </xf>
    <xf numFmtId="0" fontId="12" fillId="3" borderId="3" xfId="0" applyNumberFormat="1" applyFont="1" applyFill="1" applyBorder="1" applyAlignment="1" applyProtection="1">
      <alignment horizontal="center" vertical="top"/>
      <protection locked="0"/>
    </xf>
    <xf numFmtId="0" fontId="10" fillId="5" borderId="14" xfId="0" applyFont="1" applyFill="1" applyBorder="1" applyAlignment="1">
      <alignment horizontal="center" vertical="center" wrapText="1"/>
    </xf>
    <xf numFmtId="0" fontId="14" fillId="3" borderId="11" xfId="0" quotePrefix="1" applyFont="1" applyFill="1" applyBorder="1" applyAlignment="1">
      <alignment vertical="center"/>
    </xf>
    <xf numFmtId="0" fontId="10" fillId="3" borderId="0" xfId="0" quotePrefix="1" applyFont="1" applyFill="1" applyBorder="1" applyAlignment="1">
      <alignment horizontal="left"/>
    </xf>
    <xf numFmtId="0" fontId="10" fillId="3" borderId="6" xfId="0" quotePrefix="1" applyFont="1" applyFill="1" applyBorder="1" applyAlignment="1">
      <alignment horizontal="left"/>
    </xf>
    <xf numFmtId="0" fontId="10" fillId="3" borderId="5" xfId="0" quotePrefix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2</xdr:row>
      <xdr:rowOff>19942</xdr:rowOff>
    </xdr:from>
    <xdr:to>
      <xdr:col>12</xdr:col>
      <xdr:colOff>1905000</xdr:colOff>
      <xdr:row>7</xdr:row>
      <xdr:rowOff>171450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059650" y="629542"/>
          <a:ext cx="1857375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38"/>
  <sheetViews>
    <sheetView tabSelected="1" topLeftCell="B1" workbookViewId="0">
      <selection activeCell="F4" sqref="F4"/>
    </sheetView>
  </sheetViews>
  <sheetFormatPr defaultRowHeight="15" x14ac:dyDescent="0.25"/>
  <cols>
    <col min="2" max="2" width="3.140625" style="25" customWidth="1"/>
    <col min="3" max="3" width="18.7109375" style="25" bestFit="1" customWidth="1"/>
    <col min="4" max="4" width="36" bestFit="1" customWidth="1"/>
    <col min="5" max="5" width="30" customWidth="1"/>
    <col min="6" max="6" width="26.5703125" bestFit="1" customWidth="1"/>
    <col min="7" max="7" width="33.42578125" bestFit="1" customWidth="1"/>
    <col min="8" max="8" width="33.42578125" customWidth="1"/>
    <col min="9" max="9" width="21.42578125" bestFit="1" customWidth="1"/>
    <col min="10" max="10" width="17.85546875" bestFit="1" customWidth="1"/>
    <col min="11" max="11" width="16.7109375" bestFit="1" customWidth="1"/>
    <col min="12" max="13" width="29.42578125" customWidth="1"/>
  </cols>
  <sheetData>
    <row r="1" spans="1:13" ht="15.75" thickBot="1" x14ac:dyDescent="0.3">
      <c r="A1" s="1"/>
      <c r="B1" s="19"/>
      <c r="C1" s="19"/>
      <c r="D1" s="2"/>
      <c r="E1" s="2"/>
      <c r="F1" s="2"/>
      <c r="G1" s="2"/>
      <c r="H1" s="2"/>
      <c r="I1" s="2"/>
      <c r="J1" s="59"/>
      <c r="K1" s="59"/>
      <c r="L1" s="59"/>
      <c r="M1" s="59"/>
    </row>
    <row r="2" spans="1:13" ht="32.25" thickBot="1" x14ac:dyDescent="0.3">
      <c r="A2" s="1"/>
      <c r="B2" s="20"/>
      <c r="C2" s="46"/>
      <c r="D2" s="10" t="s">
        <v>0</v>
      </c>
      <c r="E2" s="10"/>
      <c r="F2" s="55" t="s">
        <v>138</v>
      </c>
      <c r="G2" s="11"/>
      <c r="H2" s="11"/>
      <c r="I2" s="3"/>
      <c r="J2" s="3"/>
      <c r="K2" s="3"/>
      <c r="L2" s="3"/>
      <c r="M2" s="43"/>
    </row>
    <row r="3" spans="1:13" x14ac:dyDescent="0.25">
      <c r="A3" s="1"/>
      <c r="B3" s="21"/>
      <c r="C3" s="47"/>
      <c r="D3" s="12" t="s">
        <v>1</v>
      </c>
      <c r="E3" s="12"/>
      <c r="F3" s="56" t="s">
        <v>139</v>
      </c>
      <c r="G3" s="12"/>
      <c r="H3" s="12"/>
      <c r="I3" s="4"/>
      <c r="J3" s="4"/>
      <c r="K3" s="4"/>
      <c r="L3" s="4"/>
      <c r="M3" s="60"/>
    </row>
    <row r="4" spans="1:13" x14ac:dyDescent="0.25">
      <c r="A4" s="1"/>
      <c r="B4" s="21"/>
      <c r="C4" s="47"/>
      <c r="D4" s="12" t="s">
        <v>2</v>
      </c>
      <c r="E4" s="12"/>
      <c r="F4" s="57" t="s">
        <v>137</v>
      </c>
      <c r="G4" s="13"/>
      <c r="H4" s="13"/>
      <c r="I4" s="6"/>
      <c r="J4" s="6"/>
      <c r="K4" s="6"/>
      <c r="L4" s="6"/>
      <c r="M4" s="61"/>
    </row>
    <row r="5" spans="1:13" x14ac:dyDescent="0.25">
      <c r="A5" s="1"/>
      <c r="B5" s="21"/>
      <c r="C5" s="47"/>
      <c r="D5" s="12" t="s">
        <v>3</v>
      </c>
      <c r="E5" s="12"/>
      <c r="F5" s="58" t="s">
        <v>7</v>
      </c>
      <c r="G5" s="14"/>
      <c r="H5" s="14"/>
      <c r="I5" s="5"/>
      <c r="J5" s="5"/>
      <c r="K5" s="5"/>
      <c r="L5" s="5"/>
      <c r="M5" s="61"/>
    </row>
    <row r="6" spans="1:13" x14ac:dyDescent="0.25">
      <c r="A6" s="1"/>
      <c r="B6" s="22"/>
      <c r="C6" s="48"/>
      <c r="D6" s="15"/>
      <c r="E6" s="15"/>
      <c r="F6" s="16"/>
      <c r="G6" s="14"/>
      <c r="H6" s="14"/>
      <c r="I6" s="5"/>
      <c r="J6" s="5"/>
      <c r="K6" s="5"/>
      <c r="L6" s="5"/>
      <c r="M6" s="61"/>
    </row>
    <row r="7" spans="1:13" x14ac:dyDescent="0.25">
      <c r="A7" s="1"/>
      <c r="B7" s="23"/>
      <c r="C7" s="49"/>
      <c r="D7" s="17"/>
      <c r="E7" s="17"/>
      <c r="F7" s="18"/>
      <c r="G7" s="17"/>
      <c r="H7" s="17"/>
      <c r="I7" s="7"/>
      <c r="J7" s="7"/>
      <c r="K7" s="7"/>
      <c r="L7" s="7"/>
      <c r="M7" s="61"/>
    </row>
    <row r="8" spans="1:13" ht="15.75" thickBot="1" x14ac:dyDescent="0.3">
      <c r="A8" s="1"/>
      <c r="B8" s="26"/>
      <c r="C8" s="50"/>
      <c r="D8" s="27"/>
      <c r="E8" s="27"/>
      <c r="F8" s="28"/>
      <c r="G8" s="17"/>
      <c r="H8" s="17"/>
      <c r="I8" s="7"/>
      <c r="J8" s="7"/>
      <c r="K8" s="7"/>
      <c r="L8" s="7"/>
      <c r="M8" s="61"/>
    </row>
    <row r="9" spans="1:13" ht="15.75" thickBot="1" x14ac:dyDescent="0.3">
      <c r="A9" s="1"/>
      <c r="B9" s="29" t="s">
        <v>4</v>
      </c>
      <c r="C9" s="29" t="s">
        <v>8</v>
      </c>
      <c r="D9" s="29" t="s">
        <v>9</v>
      </c>
      <c r="E9" s="30" t="s">
        <v>37</v>
      </c>
      <c r="F9" s="29" t="s">
        <v>65</v>
      </c>
      <c r="G9" s="30" t="s">
        <v>82</v>
      </c>
      <c r="H9" s="29" t="s">
        <v>135</v>
      </c>
      <c r="I9" s="29" t="s">
        <v>97</v>
      </c>
      <c r="J9" s="30" t="s">
        <v>114</v>
      </c>
      <c r="K9" s="29" t="s">
        <v>131</v>
      </c>
      <c r="L9" s="29" t="s">
        <v>132</v>
      </c>
      <c r="M9" s="31" t="s">
        <v>133</v>
      </c>
    </row>
    <row r="10" spans="1:13" ht="15.75" thickBot="1" x14ac:dyDescent="0.3">
      <c r="A10" s="1"/>
      <c r="B10" s="54">
        <f>ROW(B10) - ROW($B$9)</f>
        <v>1</v>
      </c>
      <c r="C10" s="51"/>
      <c r="D10" s="37" t="s">
        <v>10</v>
      </c>
      <c r="E10" s="38" t="s">
        <v>38</v>
      </c>
      <c r="F10" s="37" t="s">
        <v>66</v>
      </c>
      <c r="G10" s="38" t="s">
        <v>83</v>
      </c>
      <c r="H10" s="37"/>
      <c r="I10" s="37" t="s">
        <v>98</v>
      </c>
      <c r="J10" s="38" t="s">
        <v>115</v>
      </c>
      <c r="K10" s="37">
        <v>4</v>
      </c>
      <c r="L10" s="37"/>
      <c r="M10" s="41"/>
    </row>
    <row r="11" spans="1:13" ht="36.75" thickBot="1" x14ac:dyDescent="0.3">
      <c r="A11" s="1"/>
      <c r="B11" s="54">
        <f t="shared" ref="B11:B35" si="0">ROW(B11) - ROW($B$9)</f>
        <v>2</v>
      </c>
      <c r="C11" s="51"/>
      <c r="D11" s="39" t="s">
        <v>11</v>
      </c>
      <c r="E11" s="40" t="s">
        <v>39</v>
      </c>
      <c r="F11" s="39" t="s">
        <v>67</v>
      </c>
      <c r="G11" s="40" t="s">
        <v>84</v>
      </c>
      <c r="H11" s="39"/>
      <c r="I11" s="39" t="s">
        <v>99</v>
      </c>
      <c r="J11" s="40" t="s">
        <v>116</v>
      </c>
      <c r="K11" s="39">
        <v>24</v>
      </c>
      <c r="L11" s="39"/>
      <c r="M11" s="42"/>
    </row>
    <row r="12" spans="1:13" ht="15.75" thickBot="1" x14ac:dyDescent="0.3">
      <c r="A12" s="1"/>
      <c r="B12" s="54">
        <f>ROW(B12) - ROW($B$9)</f>
        <v>3</v>
      </c>
      <c r="C12" s="51"/>
      <c r="D12" s="37" t="s">
        <v>12</v>
      </c>
      <c r="E12" s="38" t="s">
        <v>40</v>
      </c>
      <c r="F12" s="37" t="s">
        <v>66</v>
      </c>
      <c r="G12" s="38" t="s">
        <v>85</v>
      </c>
      <c r="H12" s="37"/>
      <c r="I12" s="37" t="s">
        <v>98</v>
      </c>
      <c r="J12" s="38" t="s">
        <v>117</v>
      </c>
      <c r="K12" s="37">
        <v>1</v>
      </c>
      <c r="L12" s="37"/>
      <c r="M12" s="41"/>
    </row>
    <row r="13" spans="1:13" ht="15.75" thickBot="1" x14ac:dyDescent="0.3">
      <c r="A13" s="1"/>
      <c r="B13" s="54">
        <f t="shared" si="0"/>
        <v>4</v>
      </c>
      <c r="C13" s="51"/>
      <c r="D13" s="39" t="s">
        <v>13</v>
      </c>
      <c r="E13" s="40" t="s">
        <v>41</v>
      </c>
      <c r="F13" s="39" t="s">
        <v>67</v>
      </c>
      <c r="G13" s="40" t="s">
        <v>86</v>
      </c>
      <c r="H13" s="39"/>
      <c r="I13" s="39" t="s">
        <v>100</v>
      </c>
      <c r="J13" s="40" t="s">
        <v>118</v>
      </c>
      <c r="K13" s="39">
        <v>3</v>
      </c>
      <c r="L13" s="39"/>
      <c r="M13" s="42"/>
    </row>
    <row r="14" spans="1:13" ht="15.75" thickBot="1" x14ac:dyDescent="0.3">
      <c r="A14" s="1"/>
      <c r="B14" s="54">
        <f>ROW(B14) - ROW($B$9)</f>
        <v>5</v>
      </c>
      <c r="C14" s="51"/>
      <c r="D14" s="37" t="s">
        <v>14</v>
      </c>
      <c r="E14" s="38" t="s">
        <v>42</v>
      </c>
      <c r="F14" s="37" t="s">
        <v>67</v>
      </c>
      <c r="G14" s="38" t="s">
        <v>87</v>
      </c>
      <c r="H14" s="37"/>
      <c r="I14" s="37" t="s">
        <v>101</v>
      </c>
      <c r="J14" s="38" t="s">
        <v>119</v>
      </c>
      <c r="K14" s="37">
        <v>4</v>
      </c>
      <c r="L14" s="37"/>
      <c r="M14" s="41"/>
    </row>
    <row r="15" spans="1:13" ht="24.75" thickBot="1" x14ac:dyDescent="0.3">
      <c r="A15" s="1"/>
      <c r="B15" s="54">
        <f t="shared" si="0"/>
        <v>6</v>
      </c>
      <c r="C15" s="51"/>
      <c r="D15" s="39" t="s">
        <v>15</v>
      </c>
      <c r="E15" s="40" t="s">
        <v>43</v>
      </c>
      <c r="F15" s="39" t="s">
        <v>68</v>
      </c>
      <c r="G15" s="40" t="s">
        <v>120</v>
      </c>
      <c r="H15" s="39"/>
      <c r="I15" s="39" t="s">
        <v>102</v>
      </c>
      <c r="J15" s="40" t="s">
        <v>134</v>
      </c>
      <c r="K15" s="39">
        <v>1</v>
      </c>
      <c r="L15" s="39"/>
      <c r="M15" s="42"/>
    </row>
    <row r="16" spans="1:13" ht="24.75" thickBot="1" x14ac:dyDescent="0.3">
      <c r="A16" s="1"/>
      <c r="B16" s="54">
        <f>ROW(B16) - ROW($B$9)</f>
        <v>7</v>
      </c>
      <c r="C16" s="51"/>
      <c r="D16" s="37" t="s">
        <v>16</v>
      </c>
      <c r="E16" s="38" t="s">
        <v>44</v>
      </c>
      <c r="F16" s="37" t="s">
        <v>69</v>
      </c>
      <c r="G16" s="38" t="s">
        <v>120</v>
      </c>
      <c r="H16" s="37"/>
      <c r="I16" s="37" t="s">
        <v>102</v>
      </c>
      <c r="J16" s="38" t="s">
        <v>134</v>
      </c>
      <c r="K16" s="37">
        <v>1</v>
      </c>
      <c r="L16" s="37"/>
      <c r="M16" s="41"/>
    </row>
    <row r="17" spans="1:13" ht="15.75" thickBot="1" x14ac:dyDescent="0.3">
      <c r="A17" s="1"/>
      <c r="B17" s="54">
        <f t="shared" si="0"/>
        <v>8</v>
      </c>
      <c r="C17" s="51"/>
      <c r="D17" s="39" t="s">
        <v>17</v>
      </c>
      <c r="E17" s="40" t="s">
        <v>45</v>
      </c>
      <c r="F17" s="39" t="s">
        <v>136</v>
      </c>
      <c r="G17" s="40" t="s">
        <v>70</v>
      </c>
      <c r="H17" s="39"/>
      <c r="I17" s="39" t="s">
        <v>103</v>
      </c>
      <c r="J17" s="40" t="s">
        <v>134</v>
      </c>
      <c r="K17" s="39">
        <v>1</v>
      </c>
      <c r="L17" s="39"/>
      <c r="M17" s="42"/>
    </row>
    <row r="18" spans="1:13" ht="24.75" thickBot="1" x14ac:dyDescent="0.3">
      <c r="A18" s="1"/>
      <c r="B18" s="54">
        <f>ROW(B18) - ROW($B$9)</f>
        <v>9</v>
      </c>
      <c r="C18" s="51"/>
      <c r="D18" s="37" t="s">
        <v>18</v>
      </c>
      <c r="E18" s="38" t="s">
        <v>46</v>
      </c>
      <c r="F18" s="37" t="s">
        <v>136</v>
      </c>
      <c r="G18" s="38" t="s">
        <v>71</v>
      </c>
      <c r="H18" s="37"/>
      <c r="I18" s="37" t="s">
        <v>104</v>
      </c>
      <c r="J18" s="38" t="s">
        <v>134</v>
      </c>
      <c r="K18" s="37">
        <v>5</v>
      </c>
      <c r="L18" s="37"/>
      <c r="M18" s="41"/>
    </row>
    <row r="19" spans="1:13" ht="15.75" thickBot="1" x14ac:dyDescent="0.3">
      <c r="A19" s="1"/>
      <c r="B19" s="54">
        <f t="shared" si="0"/>
        <v>10</v>
      </c>
      <c r="C19" s="51"/>
      <c r="D19" s="39" t="s">
        <v>19</v>
      </c>
      <c r="E19" s="40" t="s">
        <v>47</v>
      </c>
      <c r="F19" s="39" t="s">
        <v>72</v>
      </c>
      <c r="G19" s="40" t="s">
        <v>121</v>
      </c>
      <c r="H19" s="39"/>
      <c r="I19" s="39" t="s">
        <v>105</v>
      </c>
      <c r="J19" s="40" t="s">
        <v>134</v>
      </c>
      <c r="K19" s="39">
        <v>1</v>
      </c>
      <c r="L19" s="39"/>
      <c r="M19" s="42"/>
    </row>
    <row r="20" spans="1:13" ht="24.75" thickBot="1" x14ac:dyDescent="0.3">
      <c r="A20" s="1"/>
      <c r="B20" s="54">
        <f>ROW(B20) - ROW($B$9)</f>
        <v>11</v>
      </c>
      <c r="C20" s="51"/>
      <c r="D20" s="37" t="s">
        <v>20</v>
      </c>
      <c r="E20" s="38" t="s">
        <v>48</v>
      </c>
      <c r="F20" s="37" t="s">
        <v>73</v>
      </c>
      <c r="G20" s="38" t="s">
        <v>122</v>
      </c>
      <c r="H20" s="37"/>
      <c r="I20" s="37" t="s">
        <v>106</v>
      </c>
      <c r="J20" s="38" t="s">
        <v>134</v>
      </c>
      <c r="K20" s="37">
        <v>3</v>
      </c>
      <c r="L20" s="37"/>
      <c r="M20" s="41"/>
    </row>
    <row r="21" spans="1:13" ht="15.75" thickBot="1" x14ac:dyDescent="0.3">
      <c r="A21" s="1"/>
      <c r="B21" s="54">
        <f t="shared" si="0"/>
        <v>12</v>
      </c>
      <c r="C21" s="51"/>
      <c r="D21" s="39" t="s">
        <v>21</v>
      </c>
      <c r="E21" s="40" t="s">
        <v>49</v>
      </c>
      <c r="F21" s="39" t="s">
        <v>74</v>
      </c>
      <c r="G21" s="40" t="s">
        <v>123</v>
      </c>
      <c r="H21" s="39"/>
      <c r="I21" s="39" t="s">
        <v>134</v>
      </c>
      <c r="J21" s="40" t="s">
        <v>123</v>
      </c>
      <c r="K21" s="39">
        <v>3</v>
      </c>
      <c r="L21" s="39"/>
      <c r="M21" s="42"/>
    </row>
    <row r="22" spans="1:13" ht="24.75" thickBot="1" x14ac:dyDescent="0.3">
      <c r="A22" s="1"/>
      <c r="B22" s="54">
        <f>ROW(B22) - ROW($B$9)</f>
        <v>13</v>
      </c>
      <c r="C22" s="51"/>
      <c r="D22" s="37" t="s">
        <v>22</v>
      </c>
      <c r="E22" s="38" t="s">
        <v>50</v>
      </c>
      <c r="F22" s="37" t="s">
        <v>75</v>
      </c>
      <c r="G22" s="38" t="s">
        <v>88</v>
      </c>
      <c r="H22" s="37"/>
      <c r="I22" s="37" t="s">
        <v>99</v>
      </c>
      <c r="J22" s="38" t="s">
        <v>124</v>
      </c>
      <c r="K22" s="37">
        <v>12</v>
      </c>
      <c r="L22" s="37"/>
      <c r="M22" s="41"/>
    </row>
    <row r="23" spans="1:13" ht="15.75" thickBot="1" x14ac:dyDescent="0.3">
      <c r="A23" s="1"/>
      <c r="B23" s="54">
        <f t="shared" si="0"/>
        <v>14</v>
      </c>
      <c r="C23" s="51"/>
      <c r="D23" s="39" t="s">
        <v>23</v>
      </c>
      <c r="E23" s="40" t="s">
        <v>51</v>
      </c>
      <c r="F23" s="39" t="s">
        <v>75</v>
      </c>
      <c r="G23" s="40" t="s">
        <v>89</v>
      </c>
      <c r="H23" s="39"/>
      <c r="I23" s="39" t="s">
        <v>99</v>
      </c>
      <c r="J23" s="40" t="s">
        <v>125</v>
      </c>
      <c r="K23" s="39">
        <v>3</v>
      </c>
      <c r="L23" s="39"/>
      <c r="M23" s="42"/>
    </row>
    <row r="24" spans="1:13" ht="15.75" thickBot="1" x14ac:dyDescent="0.3">
      <c r="A24" s="1"/>
      <c r="B24" s="54">
        <f>ROW(B24) - ROW($B$9)</f>
        <v>15</v>
      </c>
      <c r="C24" s="51"/>
      <c r="D24" s="37" t="s">
        <v>24</v>
      </c>
      <c r="E24" s="38" t="s">
        <v>52</v>
      </c>
      <c r="F24" s="37" t="s">
        <v>75</v>
      </c>
      <c r="G24" s="38" t="s">
        <v>90</v>
      </c>
      <c r="H24" s="37"/>
      <c r="I24" s="37" t="s">
        <v>99</v>
      </c>
      <c r="J24" s="38" t="s">
        <v>126</v>
      </c>
      <c r="K24" s="37">
        <v>1</v>
      </c>
      <c r="L24" s="37"/>
      <c r="M24" s="41"/>
    </row>
    <row r="25" spans="1:13" ht="15.75" thickBot="1" x14ac:dyDescent="0.3">
      <c r="A25" s="1"/>
      <c r="B25" s="54">
        <f t="shared" si="0"/>
        <v>16</v>
      </c>
      <c r="C25" s="51"/>
      <c r="D25" s="39" t="s">
        <v>25</v>
      </c>
      <c r="E25" s="40" t="s">
        <v>53</v>
      </c>
      <c r="F25" s="39" t="s">
        <v>75</v>
      </c>
      <c r="G25" s="40" t="s">
        <v>91</v>
      </c>
      <c r="H25" s="39"/>
      <c r="I25" s="39" t="s">
        <v>99</v>
      </c>
      <c r="J25" s="40" t="s">
        <v>127</v>
      </c>
      <c r="K25" s="39">
        <v>3</v>
      </c>
      <c r="L25" s="39"/>
      <c r="M25" s="42"/>
    </row>
    <row r="26" spans="1:13" ht="15.75" thickBot="1" x14ac:dyDescent="0.3">
      <c r="A26" s="1"/>
      <c r="B26" s="54">
        <f>ROW(B26) - ROW($B$9)</f>
        <v>17</v>
      </c>
      <c r="C26" s="51"/>
      <c r="D26" s="37" t="s">
        <v>26</v>
      </c>
      <c r="E26" s="38" t="s">
        <v>54</v>
      </c>
      <c r="F26" s="37" t="s">
        <v>75</v>
      </c>
      <c r="G26" s="38" t="s">
        <v>92</v>
      </c>
      <c r="H26" s="37"/>
      <c r="I26" s="37" t="s">
        <v>99</v>
      </c>
      <c r="J26" s="38" t="s">
        <v>128</v>
      </c>
      <c r="K26" s="37">
        <v>1</v>
      </c>
      <c r="L26" s="37"/>
      <c r="M26" s="41"/>
    </row>
    <row r="27" spans="1:13" ht="15.75" thickBot="1" x14ac:dyDescent="0.3">
      <c r="A27" s="1"/>
      <c r="B27" s="54">
        <f t="shared" si="0"/>
        <v>18</v>
      </c>
      <c r="C27" s="51"/>
      <c r="D27" s="39" t="s">
        <v>27</v>
      </c>
      <c r="E27" s="40" t="s">
        <v>55</v>
      </c>
      <c r="F27" s="39" t="s">
        <v>75</v>
      </c>
      <c r="G27" s="40" t="s">
        <v>93</v>
      </c>
      <c r="H27" s="39"/>
      <c r="I27" s="39" t="s">
        <v>99</v>
      </c>
      <c r="J27" s="40" t="s">
        <v>129</v>
      </c>
      <c r="K27" s="39">
        <v>2</v>
      </c>
      <c r="L27" s="39"/>
      <c r="M27" s="42"/>
    </row>
    <row r="28" spans="1:13" ht="15.75" thickBot="1" x14ac:dyDescent="0.3">
      <c r="A28" s="1"/>
      <c r="B28" s="54">
        <f>ROW(B28) - ROW($B$9)</f>
        <v>19</v>
      </c>
      <c r="C28" s="51"/>
      <c r="D28" s="37" t="s">
        <v>28</v>
      </c>
      <c r="E28" s="38" t="s">
        <v>56</v>
      </c>
      <c r="F28" s="37" t="s">
        <v>75</v>
      </c>
      <c r="G28" s="38" t="s">
        <v>94</v>
      </c>
      <c r="H28" s="37"/>
      <c r="I28" s="37" t="s">
        <v>99</v>
      </c>
      <c r="J28" s="38" t="s">
        <v>130</v>
      </c>
      <c r="K28" s="37">
        <v>1</v>
      </c>
      <c r="L28" s="37"/>
      <c r="M28" s="41"/>
    </row>
    <row r="29" spans="1:13" ht="15.75" thickBot="1" x14ac:dyDescent="0.3">
      <c r="A29" s="1"/>
      <c r="B29" s="54">
        <f t="shared" si="0"/>
        <v>20</v>
      </c>
      <c r="C29" s="51"/>
      <c r="D29" s="39" t="s">
        <v>29</v>
      </c>
      <c r="E29" s="40" t="s">
        <v>57</v>
      </c>
      <c r="F29" s="39" t="s">
        <v>76</v>
      </c>
      <c r="G29" s="40" t="s">
        <v>134</v>
      </c>
      <c r="H29" s="39"/>
      <c r="I29" s="39"/>
      <c r="J29" s="40" t="s">
        <v>76</v>
      </c>
      <c r="K29" s="39">
        <v>5</v>
      </c>
      <c r="L29" s="39"/>
      <c r="M29" s="42"/>
    </row>
    <row r="30" spans="1:13" ht="15.75" thickBot="1" x14ac:dyDescent="0.3">
      <c r="A30" s="1"/>
      <c r="B30" s="54">
        <f>ROW(B30) - ROW($B$9)</f>
        <v>21</v>
      </c>
      <c r="C30" s="51"/>
      <c r="D30" s="37" t="s">
        <v>30</v>
      </c>
      <c r="E30" s="38" t="s">
        <v>58</v>
      </c>
      <c r="F30" s="37" t="s">
        <v>136</v>
      </c>
      <c r="G30" s="38" t="s">
        <v>77</v>
      </c>
      <c r="H30" s="37"/>
      <c r="I30" s="37" t="s">
        <v>107</v>
      </c>
      <c r="J30" s="38" t="s">
        <v>134</v>
      </c>
      <c r="K30" s="37">
        <v>1</v>
      </c>
      <c r="L30" s="37"/>
      <c r="M30" s="41"/>
    </row>
    <row r="31" spans="1:13" ht="15.75" thickBot="1" x14ac:dyDescent="0.3">
      <c r="A31" s="1"/>
      <c r="B31" s="54">
        <f t="shared" si="0"/>
        <v>22</v>
      </c>
      <c r="C31" s="51"/>
      <c r="D31" s="39" t="s">
        <v>31</v>
      </c>
      <c r="E31" s="40" t="s">
        <v>59</v>
      </c>
      <c r="F31" s="39" t="s">
        <v>136</v>
      </c>
      <c r="G31" s="40" t="s">
        <v>95</v>
      </c>
      <c r="H31" s="39"/>
      <c r="I31" s="39" t="s">
        <v>108</v>
      </c>
      <c r="J31" s="40" t="s">
        <v>134</v>
      </c>
      <c r="K31" s="39">
        <v>1</v>
      </c>
      <c r="L31" s="39"/>
      <c r="M31" s="42"/>
    </row>
    <row r="32" spans="1:13" ht="15.75" thickBot="1" x14ac:dyDescent="0.3">
      <c r="A32" s="1"/>
      <c r="B32" s="54">
        <f>ROW(B32) - ROW($B$9)</f>
        <v>23</v>
      </c>
      <c r="C32" s="51"/>
      <c r="D32" s="37" t="s">
        <v>32</v>
      </c>
      <c r="E32" s="38" t="s">
        <v>60</v>
      </c>
      <c r="F32" s="37" t="s">
        <v>136</v>
      </c>
      <c r="G32" s="38" t="s">
        <v>78</v>
      </c>
      <c r="H32" s="37"/>
      <c r="I32" s="37" t="s">
        <v>109</v>
      </c>
      <c r="J32" s="38" t="s">
        <v>134</v>
      </c>
      <c r="K32" s="37">
        <v>1</v>
      </c>
      <c r="L32" s="37"/>
      <c r="M32" s="41"/>
    </row>
    <row r="33" spans="1:13" ht="15.75" thickBot="1" x14ac:dyDescent="0.3">
      <c r="A33" s="1"/>
      <c r="B33" s="54">
        <f t="shared" si="0"/>
        <v>24</v>
      </c>
      <c r="C33" s="51"/>
      <c r="D33" s="39" t="s">
        <v>33</v>
      </c>
      <c r="E33" s="40" t="s">
        <v>61</v>
      </c>
      <c r="F33" s="39" t="s">
        <v>136</v>
      </c>
      <c r="G33" s="40" t="s">
        <v>79</v>
      </c>
      <c r="H33" s="39"/>
      <c r="I33" s="39" t="s">
        <v>110</v>
      </c>
      <c r="J33" s="40" t="s">
        <v>134</v>
      </c>
      <c r="K33" s="39">
        <v>1</v>
      </c>
      <c r="L33" s="39"/>
      <c r="M33" s="42"/>
    </row>
    <row r="34" spans="1:13" ht="15.75" thickBot="1" x14ac:dyDescent="0.3">
      <c r="A34" s="1"/>
      <c r="B34" s="54">
        <f>ROW(B34) - ROW($B$9)</f>
        <v>25</v>
      </c>
      <c r="C34" s="51"/>
      <c r="D34" s="37" t="s">
        <v>34</v>
      </c>
      <c r="E34" s="38" t="s">
        <v>62</v>
      </c>
      <c r="F34" s="37" t="s">
        <v>136</v>
      </c>
      <c r="G34" s="38" t="s">
        <v>96</v>
      </c>
      <c r="H34" s="37"/>
      <c r="I34" s="37" t="s">
        <v>111</v>
      </c>
      <c r="J34" s="38" t="s">
        <v>134</v>
      </c>
      <c r="K34" s="37">
        <v>1</v>
      </c>
      <c r="L34" s="37"/>
      <c r="M34" s="41"/>
    </row>
    <row r="35" spans="1:13" ht="15.75" thickBot="1" x14ac:dyDescent="0.3">
      <c r="A35" s="1"/>
      <c r="B35" s="54">
        <f t="shared" si="0"/>
        <v>26</v>
      </c>
      <c r="C35" s="51"/>
      <c r="D35" s="39" t="s">
        <v>35</v>
      </c>
      <c r="E35" s="40" t="s">
        <v>63</v>
      </c>
      <c r="F35" s="39" t="s">
        <v>136</v>
      </c>
      <c r="G35" s="40" t="s">
        <v>80</v>
      </c>
      <c r="H35" s="39"/>
      <c r="I35" s="39" t="s">
        <v>112</v>
      </c>
      <c r="J35" s="40" t="s">
        <v>134</v>
      </c>
      <c r="K35" s="39">
        <v>1</v>
      </c>
      <c r="L35" s="39"/>
      <c r="M35" s="42"/>
    </row>
    <row r="36" spans="1:13" ht="15.75" thickBot="1" x14ac:dyDescent="0.3">
      <c r="A36" s="1"/>
      <c r="B36" s="54">
        <f>ROW(B36) - ROW($B$9)</f>
        <v>27</v>
      </c>
      <c r="C36" s="51"/>
      <c r="D36" s="37" t="s">
        <v>36</v>
      </c>
      <c r="E36" s="38" t="s">
        <v>64</v>
      </c>
      <c r="F36" s="37" t="s">
        <v>136</v>
      </c>
      <c r="G36" s="38" t="s">
        <v>81</v>
      </c>
      <c r="H36" s="37"/>
      <c r="I36" s="37" t="s">
        <v>113</v>
      </c>
      <c r="J36" s="38" t="s">
        <v>134</v>
      </c>
      <c r="K36" s="37">
        <v>1</v>
      </c>
      <c r="L36" s="37"/>
      <c r="M36" s="41"/>
    </row>
    <row r="37" spans="1:13" x14ac:dyDescent="0.25">
      <c r="A37" s="1"/>
      <c r="B37" s="32"/>
      <c r="C37" s="52"/>
      <c r="D37" s="33" t="s">
        <v>5</v>
      </c>
      <c r="E37" s="34"/>
      <c r="F37" s="35"/>
      <c r="G37" s="36"/>
      <c r="H37" s="36"/>
      <c r="I37" s="35"/>
      <c r="J37" s="36"/>
      <c r="K37" s="36"/>
      <c r="L37" s="36"/>
      <c r="M37" s="44"/>
    </row>
    <row r="38" spans="1:13" ht="15.75" thickBot="1" x14ac:dyDescent="0.3">
      <c r="A38" s="1"/>
      <c r="B38" s="24"/>
      <c r="C38" s="53"/>
      <c r="D38" s="8" t="s">
        <v>6</v>
      </c>
      <c r="E38" s="9"/>
      <c r="F38" s="9"/>
      <c r="G38" s="9"/>
      <c r="H38" s="9"/>
      <c r="I38" s="9"/>
      <c r="J38" s="9"/>
      <c r="K38" s="9"/>
      <c r="L38" s="9"/>
      <c r="M38" s="45"/>
    </row>
  </sheetData>
  <mergeCells count="2">
    <mergeCell ref="J1:M1"/>
    <mergeCell ref="M3:M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Faizan</cp:lastModifiedBy>
  <dcterms:created xsi:type="dcterms:W3CDTF">2019-12-12T10:34:26Z</dcterms:created>
  <dcterms:modified xsi:type="dcterms:W3CDTF">2022-08-04T17:01:12Z</dcterms:modified>
</cp:coreProperties>
</file>