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Github\ChrisitanRaun-AnnanasMotor\Deliverables\BOM\"/>
    </mc:Choice>
  </mc:AlternateContent>
  <bookViews>
    <workbookView xWindow="-120" yWindow="-120" windowWidth="20730" windowHeight="11160"/>
  </bookViews>
  <sheets>
    <sheet name="Refrence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3" i="1"/>
</calcChain>
</file>

<file path=xl/sharedStrings.xml><?xml version="1.0" encoding="utf-8"?>
<sst xmlns="http://schemas.openxmlformats.org/spreadsheetml/2006/main" count="266" uniqueCount="210">
  <si>
    <t>Description</t>
  </si>
  <si>
    <t>Designator</t>
  </si>
  <si>
    <t>Manufacturer</t>
  </si>
  <si>
    <t>Manufacturer Part Number</t>
  </si>
  <si>
    <t>0.1uF</t>
  </si>
  <si>
    <t>Cap1206</t>
  </si>
  <si>
    <t>4.7uF</t>
  </si>
  <si>
    <t>LED 0402</t>
  </si>
  <si>
    <t>Solder Bridge</t>
  </si>
  <si>
    <t>Solder Bridge ON</t>
  </si>
  <si>
    <t>S. No.</t>
  </si>
  <si>
    <t>Components</t>
  </si>
  <si>
    <t>Footprint (Package)</t>
  </si>
  <si>
    <t>Alternate</t>
  </si>
  <si>
    <t>Value</t>
  </si>
  <si>
    <t>Remarks</t>
  </si>
  <si>
    <t>Capacitor</t>
  </si>
  <si>
    <t>Diode</t>
  </si>
  <si>
    <t>Resistor</t>
  </si>
  <si>
    <t>Ics</t>
  </si>
  <si>
    <t>Connector</t>
  </si>
  <si>
    <t>Digikey</t>
  </si>
  <si>
    <t>Mouser</t>
  </si>
  <si>
    <t>----------</t>
  </si>
  <si>
    <t>1uF</t>
  </si>
  <si>
    <t>22uF</t>
  </si>
  <si>
    <t>10uF</t>
  </si>
  <si>
    <t>Cap0805</t>
  </si>
  <si>
    <t>10K</t>
  </si>
  <si>
    <t>Mosfet</t>
  </si>
  <si>
    <t>U1</t>
  </si>
  <si>
    <t>U2</t>
  </si>
  <si>
    <t>U3</t>
  </si>
  <si>
    <t>U4</t>
  </si>
  <si>
    <t>U7</t>
  </si>
  <si>
    <t>SOT-23</t>
  </si>
  <si>
    <t>Res0603</t>
  </si>
  <si>
    <t>--------</t>
  </si>
  <si>
    <t>U8</t>
  </si>
  <si>
    <t>CONN HEADER VERT 2POS 2.54MM</t>
  </si>
  <si>
    <t>Test Point ON</t>
  </si>
  <si>
    <t>TEST POINT</t>
  </si>
  <si>
    <t>Link</t>
  </si>
  <si>
    <t xml:space="preserve">Bill of Material (BOM) for Refrence Formate </t>
  </si>
  <si>
    <t>Quantity (400)</t>
  </si>
  <si>
    <t>Total Cost(400)</t>
  </si>
  <si>
    <t>CAP CER 1UF 100V X7S 0805</t>
  </si>
  <si>
    <t>C1, C3, C5, C26, C45</t>
  </si>
  <si>
    <t>GCM21BC72A105KE36L</t>
  </si>
  <si>
    <t>CAP CER 0.1UF 100V X7R 0603</t>
  </si>
  <si>
    <t>C2, C4, C6, C7, C8, C9, C10, C11, C12, C13, C14, C15, C16, C20, C21, C22, C23, C24, C25, C30, C31, C34, C35, C37, C40, C41</t>
  </si>
  <si>
    <t>Cap0603</t>
  </si>
  <si>
    <t>CC0603KRX7R0BB104</t>
  </si>
  <si>
    <t>CAP CER 10UF 50V X5R 0805</t>
  </si>
  <si>
    <t>C17</t>
  </si>
  <si>
    <t>GRM21BR61H106ME43L</t>
  </si>
  <si>
    <t>CAP CER 4.7UF 25V X5R 0603</t>
  </si>
  <si>
    <t>C18, C19, C29, C39</t>
  </si>
  <si>
    <t>C1608X5R1E475M080AC</t>
  </si>
  <si>
    <t>CAP CER 10PF 50V C0G/NP0 0603</t>
  </si>
  <si>
    <t>C27, C28, C32, C33, C48, C49, C50, C51, C52, C53, C54, C55</t>
  </si>
  <si>
    <t>06035A100JAT2A</t>
  </si>
  <si>
    <t>CAP CER 0.022UF 100V X7R 0603</t>
  </si>
  <si>
    <t>C36, C56, C57</t>
  </si>
  <si>
    <t>CGA3E2X7R2A223K080AA</t>
  </si>
  <si>
    <t>CAP CER 2.2UF 50V X5R 0603</t>
  </si>
  <si>
    <t>C38</t>
  </si>
  <si>
    <t>UMK107BBJ225MA-T</t>
  </si>
  <si>
    <t>25V 5mm 10mm 100uF 100kHz SMD,5x10mm Aluminum Electrolytic Cap- SMD ROHS</t>
  </si>
  <si>
    <t>C43</t>
  </si>
  <si>
    <t>VKMB1001E101MV</t>
  </si>
  <si>
    <t>63V 10mm 8mm 100uF ±20% ,8x10mm Aluminum Electrolytic Cap</t>
  </si>
  <si>
    <t>C44, C79</t>
  </si>
  <si>
    <t>VKMD1001J101MV</t>
  </si>
  <si>
    <t>CAP ALUM 10uF 25V SMD</t>
  </si>
  <si>
    <t>C46</t>
  </si>
  <si>
    <t>RVT1E100M0405</t>
  </si>
  <si>
    <t xml:space="preserve">10V 22uF -55℃~+125℃ 6Ω 100kHz ±10% CASE-A_3216 Tantalum Capacitors ROHS_x000D_
</t>
  </si>
  <si>
    <t>C47</t>
  </si>
  <si>
    <t>Cap Case-A</t>
  </si>
  <si>
    <t>CA45A-A-10V-22uF-K</t>
  </si>
  <si>
    <t>C58</t>
  </si>
  <si>
    <t>CC1206KKX7RDBB102</t>
  </si>
  <si>
    <t>36V 40V Unidirectional 75V 5A SOD-323 TVS ROHS</t>
  </si>
  <si>
    <t>D1</t>
  </si>
  <si>
    <t>SOD-323</t>
  </si>
  <si>
    <t>SD36</t>
  </si>
  <si>
    <t>D2</t>
  </si>
  <si>
    <t>PMEG3030EP,115</t>
  </si>
  <si>
    <t>SOD-523 Schottky Barrier Diodes (SBD) ROHS</t>
  </si>
  <si>
    <t>D3</t>
  </si>
  <si>
    <t>MSK4010</t>
  </si>
  <si>
    <t>MOSFET N-CH 20V 4.2A SOT23</t>
  </si>
  <si>
    <t>Q1</t>
  </si>
  <si>
    <t>IRLML2502TRPBF</t>
  </si>
  <si>
    <t>Green 520~535nm 0402 Light Emitting Diodes (LED) RoHS</t>
  </si>
  <si>
    <t>LED1, LED2</t>
  </si>
  <si>
    <t>16-213/GHC-YR1S1/3T</t>
  </si>
  <si>
    <t>200Ω @ 100MHz 1 1A 300mΩ 0603 Ferrite Beads</t>
  </si>
  <si>
    <t>L1, L2, L3, L4, L5</t>
  </si>
  <si>
    <t>MLB1608-201P1A(f)</t>
  </si>
  <si>
    <t>IND SMD 10uH 500mA 0805</t>
  </si>
  <si>
    <t>L6</t>
  </si>
  <si>
    <t>Ind0805</t>
  </si>
  <si>
    <t>MGFL2012F100MT-LF</t>
  </si>
  <si>
    <t>FIXED IND 33UH 2.5A 189.2MOHM SM</t>
  </si>
  <si>
    <t>L10</t>
  </si>
  <si>
    <t>ETQ-P4M330YFN</t>
  </si>
  <si>
    <t xml:space="preserve">Inductor </t>
  </si>
  <si>
    <t>LED</t>
  </si>
  <si>
    <t>RES SMD 10K OHM 5% 1/10W 0603</t>
  </si>
  <si>
    <t>R1, R2, R3, R4, R5, R9, R14, R15, R16, R18, R23, R24, R25, R41, R42</t>
  </si>
  <si>
    <t>AC0603JR-0710KL</t>
  </si>
  <si>
    <t>RES SMD 0603 33 Ohm 1% 1/10W</t>
  </si>
  <si>
    <t>R6, R11, R12</t>
  </si>
  <si>
    <t>RC0603FR-0733RL</t>
  </si>
  <si>
    <t>RES  SMD 330R 100 mW 0603</t>
  </si>
  <si>
    <t>R7, R36, R39</t>
  </si>
  <si>
    <t>RC0603JR-07330RL</t>
  </si>
  <si>
    <t>RES SMD 1K OHM 1% 1/10W 0603</t>
  </si>
  <si>
    <t>R8, R10, R21, R22, R29, R40</t>
  </si>
  <si>
    <t>RC0603FR-071KL</t>
  </si>
  <si>
    <t>RES SMD 12.1K OHM 1/10W 0603</t>
  </si>
  <si>
    <t>R13</t>
  </si>
  <si>
    <t>RT0603CRD0712K1L</t>
  </si>
  <si>
    <t>RES SMD ±5% ±200ppm/℃ 0.18Ω 1W 2512</t>
  </si>
  <si>
    <t>R19, R20</t>
  </si>
  <si>
    <t>RES 2512</t>
  </si>
  <si>
    <t>RTT25R18JTE</t>
  </si>
  <si>
    <t>RES 0.075 OHM 1% 2W 2512</t>
  </si>
  <si>
    <t>R27</t>
  </si>
  <si>
    <t>CSRN2512FK75L0</t>
  </si>
  <si>
    <t>RES SMD 9kΩ ±100ppm/℃ 0.125W 0805</t>
  </si>
  <si>
    <t>R28</t>
  </si>
  <si>
    <t>0805W8F9001T5E</t>
  </si>
  <si>
    <t>Res Thick Film 1.6 x 0.8 mm 49.9K Ohm 1% 0.1W(1/10W) 100ppm/ C Molded SMD Paper T/R</t>
  </si>
  <si>
    <t>R30, R31, R32, R33, R34, R35, R37, R38</t>
  </si>
  <si>
    <t>RC0603FR-0749K9L</t>
  </si>
  <si>
    <t>33R</t>
  </si>
  <si>
    <t>330R</t>
  </si>
  <si>
    <t>1K</t>
  </si>
  <si>
    <t>12.1K</t>
  </si>
  <si>
    <t>180m</t>
  </si>
  <si>
    <t>75m</t>
  </si>
  <si>
    <t>9K</t>
  </si>
  <si>
    <t>49K9</t>
  </si>
  <si>
    <t>10pF</t>
  </si>
  <si>
    <t>22nF</t>
  </si>
  <si>
    <t>2.2uF</t>
  </si>
  <si>
    <t>100uF</t>
  </si>
  <si>
    <t>1000pF</t>
  </si>
  <si>
    <t>SWITCH TACTILE SPST-NO 0.05A 12V</t>
  </si>
  <si>
    <t>SW1</t>
  </si>
  <si>
    <t>B3U-1000P</t>
  </si>
  <si>
    <t>Switch</t>
  </si>
  <si>
    <t>IC ETHERCAT SLAVE CONTROLLER</t>
  </si>
  <si>
    <t>LAN9255/ZMX019</t>
  </si>
  <si>
    <t>IC EEPROM 256KBIT I2C 1MHZ 8SOIC</t>
  </si>
  <si>
    <t>CAT24C256WI-GT3</t>
  </si>
  <si>
    <t>Stepper Motor Driver/Controller, 5V to 36V, 1 to 256 Microsteps, 1.2A, QFN-32</t>
  </si>
  <si>
    <t>32-QFN (5x5)</t>
  </si>
  <si>
    <t>TMC2202-WA-T</t>
  </si>
  <si>
    <t>MAGNETIC ANGLE SENSOR</t>
  </si>
  <si>
    <t>TLE5012BE5000FUMA1</t>
  </si>
  <si>
    <t>IC TRANSLATION TXRX 5.5V 24TSSOP</t>
  </si>
  <si>
    <t>U5</t>
  </si>
  <si>
    <t>SN74LVCH8T245PWR</t>
  </si>
  <si>
    <t>2A 40V SOIC-8_EP_150mil DC-DC Converters ROHS</t>
  </si>
  <si>
    <t>XL4001E1</t>
  </si>
  <si>
    <t>15V 1.3V @ 800mA Fixed 3.3V SOT-223 Linear Voltage Regulators (LDO) ROHS</t>
  </si>
  <si>
    <t>AZ1117CH-3.3TRG1</t>
  </si>
  <si>
    <t>CRYSTAL 25.0000MHZ 8PF SMD</t>
  </si>
  <si>
    <t>X1</t>
  </si>
  <si>
    <t>C3E-25.000-8-1015-X-M</t>
  </si>
  <si>
    <t>Crystal 32.768KHZ 6.0PF SMD</t>
  </si>
  <si>
    <t>X2</t>
  </si>
  <si>
    <t>CM8V-T1A-32.768KHZ-6PF-20PPM-TA-QC</t>
  </si>
  <si>
    <t>Crystal</t>
  </si>
  <si>
    <t>Quantity 1</t>
  </si>
  <si>
    <t>-----</t>
  </si>
  <si>
    <t>CONN HEADER VERT 10POS 2.54MM</t>
  </si>
  <si>
    <t>P2</t>
  </si>
  <si>
    <t>HDR2X5</t>
  </si>
  <si>
    <t>67997-410HLF</t>
  </si>
  <si>
    <t>P12, P15</t>
  </si>
  <si>
    <t>HDR1X2</t>
  </si>
  <si>
    <t>826629-2</t>
  </si>
  <si>
    <t>2.54mm Straight 1 Header TH ,P=2.54mm Pin Headers ROHS</t>
  </si>
  <si>
    <t>P13</t>
  </si>
  <si>
    <t>HDR1X5</t>
  </si>
  <si>
    <t>MTP125-1105S1</t>
  </si>
  <si>
    <t>SB1, SB2, SB3, SB4, SB5, SB6, SB7</t>
  </si>
  <si>
    <t>P1, P3, P4, P5, P6, P7</t>
  </si>
  <si>
    <t xml:space="preserve">Murata </t>
  </si>
  <si>
    <t>Unit Price (400)</t>
  </si>
  <si>
    <t>YAGEO</t>
  </si>
  <si>
    <t xml:space="preserve">GRM21BR61H106KE43L
</t>
  </si>
  <si>
    <t xml:space="preserve">TDK </t>
  </si>
  <si>
    <t xml:space="preserve">KYOCERA AVX
</t>
  </si>
  <si>
    <t xml:space="preserve">Taiyo Yuden
</t>
  </si>
  <si>
    <t xml:space="preserve">CAP CER 1000PF 2KV X7R 1206
</t>
  </si>
  <si>
    <t xml:space="preserve">C1206C102MGRACTU
</t>
  </si>
  <si>
    <t xml:space="preserve">DIODE SCHOTTKY 30V 3A CFP5
</t>
  </si>
  <si>
    <t xml:space="preserve">SOD-128
</t>
  </si>
  <si>
    <t xml:space="preserve">Nexperia </t>
  </si>
  <si>
    <t xml:space="preserve"> INFINEON</t>
  </si>
  <si>
    <t>Element 14</t>
  </si>
  <si>
    <t xml:space="preserve">RMCF0603FT33R0
</t>
  </si>
  <si>
    <t xml:space="preserve">Stackpole </t>
  </si>
  <si>
    <t>RMCF0603FG49K9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</si>
</sst>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00"/>
    <numFmt numFmtId="165" formatCode="_-[$$-409]* #,##0.00_ ;_-[$$-409]* \-#,##0.00\ ;_-[$$-409]* &quot;-&quot;??_ ;_-@_ "/>
    <numFmt numFmtId="166" formatCode="&quot;$&quot;#,##0.00"/>
    <numFmt numFmtId="167" formatCode="[$$-409]#,##0.00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4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2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0" fillId="0" borderId="0" xfId="0" applyFont="1"/>
    <xf numFmtId="0" fontId="4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1" quotePrefix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 wrapText="1"/>
    </xf>
    <xf numFmtId="0" fontId="5" fillId="0" borderId="1" xfId="1" quotePrefix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0" fontId="6" fillId="0" borderId="1" xfId="0" quotePrefix="1" applyFont="1" applyFill="1" applyBorder="1" applyAlignment="1">
      <alignment horizontal="center" vertical="center"/>
    </xf>
    <xf numFmtId="0" fontId="6" fillId="0" borderId="1" xfId="0" applyFont="1" applyBorder="1"/>
    <xf numFmtId="0" fontId="2" fillId="0" borderId="9" xfId="0" applyFont="1" applyBorder="1" applyAlignment="1">
      <alignment vertical="center"/>
    </xf>
    <xf numFmtId="0" fontId="0" fillId="0" borderId="1" xfId="0" quotePrefix="1" applyBorder="1" applyAlignment="1">
      <alignment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6" xfId="0" quotePrefix="1" applyBorder="1" applyAlignment="1">
      <alignment vertical="center" wrapText="1"/>
    </xf>
    <xf numFmtId="0" fontId="2" fillId="0" borderId="12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7" fontId="6" fillId="0" borderId="1" xfId="0" applyNumberFormat="1" applyFont="1" applyBorder="1" applyAlignment="1">
      <alignment horizontal="center" vertical="center"/>
    </xf>
    <xf numFmtId="0" fontId="0" fillId="0" borderId="6" xfId="0" quotePrefix="1" applyBorder="1" applyAlignment="1">
      <alignment vertical="center"/>
    </xf>
    <xf numFmtId="0" fontId="0" fillId="0" borderId="1" xfId="0" quotePrefix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kemet/C1206C102MGRACTU/1090964" TargetMode="External"/><Relationship Id="rId13" Type="http://schemas.openxmlformats.org/officeDocument/2006/relationships/hyperlink" Target="https://www.digikey.com/en/products/detail/stackpole-electronics-inc/RMCF0603FT33R0/1760804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digikey.com/en/products/detail/murata-electronics/GRM21BR61H106KE43L/10326316" TargetMode="External"/><Relationship Id="rId7" Type="http://schemas.openxmlformats.org/officeDocument/2006/relationships/hyperlink" Target="https://www.digikey.com/en/products/detail/taiyo-yuden/UMK107BBJ225MA-T/7403937?s=N4IgTCBcDaIKoFkDSBGADAdgEJYFJjAFYEBBAWgBUQBdAXyA" TargetMode="External"/><Relationship Id="rId12" Type="http://schemas.openxmlformats.org/officeDocument/2006/relationships/hyperlink" Target="https://www.digikey.com/en/products/detail/yageo/AC0603JR-0710KL/2827830?s=N4IgTCBcDaIIIGEAMA2JBmAUgJQLRIHYBGJAaQBkQBdAXyA" TargetMode="External"/><Relationship Id="rId17" Type="http://schemas.openxmlformats.org/officeDocument/2006/relationships/hyperlink" Target="https://www.digikey.com/en/products/detail/stackpole-electronics-inc/RMCF0603FG49K9/1714078" TargetMode="External"/><Relationship Id="rId2" Type="http://schemas.openxmlformats.org/officeDocument/2006/relationships/hyperlink" Target="https://www.digikey.com/en/products/detail/yageo/CC0603KRX7R0BB104/3476111?s=N4IgTCBcDaIMJwAwDZEGYDSAlAGgdi0QCEiBGRAFhAF0BfIA" TargetMode="External"/><Relationship Id="rId16" Type="http://schemas.openxmlformats.org/officeDocument/2006/relationships/hyperlink" Target="https://www.digikey.com/en/products/detail/stackpole-electronics-inc/RMCF0603FT12K1/1761240" TargetMode="External"/><Relationship Id="rId1" Type="http://schemas.openxmlformats.org/officeDocument/2006/relationships/hyperlink" Target="https://www.digikey.com/en/products/detail/murata-electronics/GCM21BC72A105KE36L/6606065?s=N4IgTCBcDaIOIGECyYCMAhBB2MBBVADAKwDSAogMwBsAMiALoC%2BQA" TargetMode="External"/><Relationship Id="rId6" Type="http://schemas.openxmlformats.org/officeDocument/2006/relationships/hyperlink" Target="https://www.digikey.com/en/products/detail/tdk-corporation/CGA3E2X7R2A223K080AA/2443292?s=N4IgTCBcDaIMIHECCBmAomAGgdgEpiTDBQGkAGADjKSRAF0BfIA" TargetMode="External"/><Relationship Id="rId11" Type="http://schemas.openxmlformats.org/officeDocument/2006/relationships/hyperlink" Target="https://eu.mouser.com/ProductDetail/Panasonic/ETQ-P4M330YFN?qs=%2Fha2pyFadujCGzzH%252B4lsUoD2JwNOHrXmb%252B4fI2o6DncI7VTdF%252BYWSr9LKz5C%252BL%2Ft&amp;utm_source=octopart&amp;utm_medium=aggregator&amp;utm_campaign=667-ETQ-P4M330YFN&amp;utm_content=Panasonic" TargetMode="External"/><Relationship Id="rId5" Type="http://schemas.openxmlformats.org/officeDocument/2006/relationships/hyperlink" Target="https://www.digikey.com/en/products/detail/kyocera-avx/06035A100JAT2A/563273?s=N4IgTCBcDaIAwDY4GYCsBBAjHOApdAKmOiALoC%2BQA" TargetMode="External"/><Relationship Id="rId15" Type="http://schemas.openxmlformats.org/officeDocument/2006/relationships/hyperlink" Target="https://www.digikey.com/en/products/detail/yageo/RC0603FR-071KL/726843?s=N4IgTCBcDaIEoGEAMA2JBmAYnAtEg7AIwDSAMiALoC%2BQA" TargetMode="External"/><Relationship Id="rId10" Type="http://schemas.openxmlformats.org/officeDocument/2006/relationships/hyperlink" Target="https://sg.element14.com/infineon/irlml2502pbf/mosfet-n-chan-20v-4-2a-sot-23/dp/9102981?CMP=GRHB-OCTOPART" TargetMode="External"/><Relationship Id="rId4" Type="http://schemas.openxmlformats.org/officeDocument/2006/relationships/hyperlink" Target="https://www.digikey.com/en/products/detail/tdk-corporation/C1608X5R1E475M080AC/3648583?s=N4IgTCBcDaIMIEYBsAGAHADQKwCUEFEAWAdiwFl0UBBOEAXQF8g" TargetMode="External"/><Relationship Id="rId9" Type="http://schemas.openxmlformats.org/officeDocument/2006/relationships/hyperlink" Target="https://www.digikey.com/en/products/detail/nexperia-usa-inc/PMEG3030EP-115/2228693?s=N4IgTCBcDaIAoFkCiBxAzABk0uAaAjPgKwgC6AvkA" TargetMode="External"/><Relationship Id="rId14" Type="http://schemas.openxmlformats.org/officeDocument/2006/relationships/hyperlink" Target="https://www.digikey.com/en/products/detail/yageo/RC0603JR-07330RL/726769?s=N4IgTCBcDaIEoGEAMA2JBmAUnAtEg7OuknADIgC6Av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"/>
  <sheetViews>
    <sheetView tabSelected="1" topLeftCell="E25" zoomScale="86" zoomScaleNormal="85" workbookViewId="0">
      <selection activeCell="F37" sqref="F37"/>
    </sheetView>
  </sheetViews>
  <sheetFormatPr defaultRowHeight="15" x14ac:dyDescent="0.25"/>
  <cols>
    <col min="1" max="1" width="6.140625" style="10" bestFit="1" customWidth="1"/>
    <col min="2" max="2" width="14.42578125" customWidth="1"/>
    <col min="3" max="3" width="37.5703125" bestFit="1" customWidth="1"/>
    <col min="4" max="4" width="28.5703125" style="10" bestFit="1" customWidth="1"/>
    <col min="5" max="5" width="18.5703125" style="10" bestFit="1" customWidth="1"/>
    <col min="6" max="6" width="26.5703125" style="10" bestFit="1" customWidth="1"/>
    <col min="7" max="7" width="19.140625" bestFit="1" customWidth="1"/>
    <col min="8" max="8" width="20.85546875" bestFit="1" customWidth="1"/>
    <col min="9" max="9" width="8" style="10" bestFit="1" customWidth="1"/>
    <col min="10" max="10" width="10.7109375" style="10" bestFit="1" customWidth="1"/>
    <col min="11" max="11" width="19.42578125" bestFit="1" customWidth="1"/>
    <col min="12" max="12" width="11.7109375" bestFit="1" customWidth="1"/>
    <col min="13" max="13" width="15.42578125" bestFit="1" customWidth="1"/>
    <col min="14" max="14" width="19.5703125" customWidth="1"/>
    <col min="15" max="15" width="48.28515625" bestFit="1" customWidth="1"/>
  </cols>
  <sheetData>
    <row r="1" spans="1:17" ht="16.5" thickBot="1" x14ac:dyDescent="0.3">
      <c r="A1" s="20" t="s">
        <v>43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2"/>
    </row>
    <row r="2" spans="1:17" ht="15.75" thickBot="1" x14ac:dyDescent="0.3">
      <c r="A2" s="1" t="s">
        <v>10</v>
      </c>
      <c r="B2" s="1" t="s">
        <v>11</v>
      </c>
      <c r="C2" s="1" t="s">
        <v>0</v>
      </c>
      <c r="D2" s="1" t="s">
        <v>1</v>
      </c>
      <c r="E2" s="1" t="s">
        <v>12</v>
      </c>
      <c r="F2" s="1" t="s">
        <v>3</v>
      </c>
      <c r="G2" s="1" t="s">
        <v>2</v>
      </c>
      <c r="H2" s="1" t="s">
        <v>13</v>
      </c>
      <c r="I2" s="1" t="s">
        <v>14</v>
      </c>
      <c r="J2" s="1" t="s">
        <v>178</v>
      </c>
      <c r="K2" s="1" t="s">
        <v>44</v>
      </c>
      <c r="L2" s="1" t="s">
        <v>42</v>
      </c>
      <c r="M2" s="1" t="s">
        <v>194</v>
      </c>
      <c r="N2" s="1" t="s">
        <v>45</v>
      </c>
      <c r="O2" s="1" t="s">
        <v>15</v>
      </c>
    </row>
    <row r="3" spans="1:17" ht="15.75" thickBot="1" x14ac:dyDescent="0.3">
      <c r="A3" s="13">
        <v>1</v>
      </c>
      <c r="B3" s="23" t="s">
        <v>16</v>
      </c>
      <c r="C3" s="33" t="s">
        <v>46</v>
      </c>
      <c r="D3" s="35" t="s">
        <v>47</v>
      </c>
      <c r="E3" s="35" t="s">
        <v>27</v>
      </c>
      <c r="F3" s="35" t="s">
        <v>48</v>
      </c>
      <c r="G3" s="3" t="s">
        <v>193</v>
      </c>
      <c r="H3" s="11" t="s">
        <v>37</v>
      </c>
      <c r="I3" s="35" t="s">
        <v>24</v>
      </c>
      <c r="J3" s="38">
        <v>5</v>
      </c>
      <c r="K3" s="5">
        <v>2000</v>
      </c>
      <c r="L3" s="15" t="s">
        <v>21</v>
      </c>
      <c r="M3" s="39">
        <v>0.14152000000000001</v>
      </c>
      <c r="N3" s="8">
        <f>M3*K3</f>
        <v>283.04000000000002</v>
      </c>
      <c r="O3" s="4"/>
      <c r="P3" s="2"/>
      <c r="Q3" s="2"/>
    </row>
    <row r="4" spans="1:17" ht="73.5" customHeight="1" thickBot="1" x14ac:dyDescent="0.3">
      <c r="A4" s="13">
        <v>2</v>
      </c>
      <c r="B4" s="24"/>
      <c r="C4" s="33" t="s">
        <v>49</v>
      </c>
      <c r="D4" s="35" t="s">
        <v>50</v>
      </c>
      <c r="E4" s="35" t="s">
        <v>51</v>
      </c>
      <c r="F4" s="35" t="s">
        <v>52</v>
      </c>
      <c r="G4" s="3" t="s">
        <v>195</v>
      </c>
      <c r="H4" s="11" t="s">
        <v>37</v>
      </c>
      <c r="I4" s="35" t="s">
        <v>4</v>
      </c>
      <c r="J4" s="38">
        <v>26</v>
      </c>
      <c r="K4" s="5">
        <v>10400</v>
      </c>
      <c r="L4" s="15" t="s">
        <v>21</v>
      </c>
      <c r="M4" s="39">
        <v>3.2744230769230803E-2</v>
      </c>
      <c r="N4" s="8">
        <f t="shared" ref="N4:N46" si="0">M4*K4</f>
        <v>340.54000000000036</v>
      </c>
      <c r="O4" s="4"/>
      <c r="P4" s="2"/>
      <c r="Q4" s="2"/>
    </row>
    <row r="5" spans="1:17" ht="15.75" thickBot="1" x14ac:dyDescent="0.3">
      <c r="A5" s="13">
        <v>3</v>
      </c>
      <c r="B5" s="24"/>
      <c r="C5" s="33" t="s">
        <v>53</v>
      </c>
      <c r="D5" s="35" t="s">
        <v>54</v>
      </c>
      <c r="E5" s="35" t="s">
        <v>27</v>
      </c>
      <c r="F5" s="35" t="s">
        <v>55</v>
      </c>
      <c r="G5" s="3" t="s">
        <v>193</v>
      </c>
      <c r="H5" s="11" t="s">
        <v>196</v>
      </c>
      <c r="I5" s="35" t="s">
        <v>26</v>
      </c>
      <c r="J5" s="38">
        <v>1</v>
      </c>
      <c r="K5" s="5">
        <v>400</v>
      </c>
      <c r="L5" s="15" t="s">
        <v>21</v>
      </c>
      <c r="M5" s="39">
        <v>0.15870000000000001</v>
      </c>
      <c r="N5" s="8">
        <f t="shared" si="0"/>
        <v>63.480000000000004</v>
      </c>
      <c r="O5" s="4"/>
      <c r="P5" s="2"/>
      <c r="Q5" s="2"/>
    </row>
    <row r="6" spans="1:17" ht="15.75" thickBot="1" x14ac:dyDescent="0.3">
      <c r="A6" s="13">
        <v>4</v>
      </c>
      <c r="B6" s="24"/>
      <c r="C6" s="33" t="s">
        <v>56</v>
      </c>
      <c r="D6" s="35" t="s">
        <v>57</v>
      </c>
      <c r="E6" s="35" t="s">
        <v>51</v>
      </c>
      <c r="F6" s="35" t="s">
        <v>58</v>
      </c>
      <c r="G6" s="3" t="s">
        <v>197</v>
      </c>
      <c r="H6" s="11" t="s">
        <v>37</v>
      </c>
      <c r="I6" s="35" t="s">
        <v>6</v>
      </c>
      <c r="J6" s="38">
        <v>4</v>
      </c>
      <c r="K6" s="5">
        <v>1600</v>
      </c>
      <c r="L6" s="15" t="s">
        <v>21</v>
      </c>
      <c r="M6" s="39">
        <v>9.0319999999999998E-2</v>
      </c>
      <c r="N6" s="8">
        <f t="shared" si="0"/>
        <v>144.512</v>
      </c>
      <c r="O6" s="4"/>
      <c r="P6" s="2"/>
      <c r="Q6" s="2"/>
    </row>
    <row r="7" spans="1:17" ht="30.75" thickBot="1" x14ac:dyDescent="0.3">
      <c r="A7" s="13">
        <v>5</v>
      </c>
      <c r="B7" s="24"/>
      <c r="C7" s="33" t="s">
        <v>59</v>
      </c>
      <c r="D7" s="35" t="s">
        <v>60</v>
      </c>
      <c r="E7" s="35" t="s">
        <v>51</v>
      </c>
      <c r="F7" s="35" t="s">
        <v>61</v>
      </c>
      <c r="G7" s="3" t="s">
        <v>198</v>
      </c>
      <c r="H7" s="11" t="s">
        <v>37</v>
      </c>
      <c r="I7" s="35" t="s">
        <v>146</v>
      </c>
      <c r="J7" s="38">
        <v>12</v>
      </c>
      <c r="K7" s="5">
        <v>4800</v>
      </c>
      <c r="L7" s="15" t="s">
        <v>21</v>
      </c>
      <c r="M7" s="39">
        <v>1.0987500000000001E-2</v>
      </c>
      <c r="N7" s="8">
        <f t="shared" si="0"/>
        <v>52.74</v>
      </c>
      <c r="O7" s="4"/>
      <c r="P7" s="2"/>
      <c r="Q7" s="2"/>
    </row>
    <row r="8" spans="1:17" ht="15.75" thickBot="1" x14ac:dyDescent="0.3">
      <c r="A8" s="13">
        <v>6</v>
      </c>
      <c r="B8" s="24"/>
      <c r="C8" s="33" t="s">
        <v>62</v>
      </c>
      <c r="D8" s="35" t="s">
        <v>63</v>
      </c>
      <c r="E8" s="35" t="s">
        <v>51</v>
      </c>
      <c r="F8" s="35" t="s">
        <v>64</v>
      </c>
      <c r="G8" s="3" t="s">
        <v>197</v>
      </c>
      <c r="H8" s="11" t="s">
        <v>37</v>
      </c>
      <c r="I8" s="35" t="s">
        <v>147</v>
      </c>
      <c r="J8" s="38">
        <v>3</v>
      </c>
      <c r="K8" s="5">
        <v>1200</v>
      </c>
      <c r="L8" s="15" t="s">
        <v>21</v>
      </c>
      <c r="M8" s="39">
        <v>2.0830000000000001E-2</v>
      </c>
      <c r="N8" s="8">
        <f t="shared" si="0"/>
        <v>24.996000000000002</v>
      </c>
      <c r="O8" s="4"/>
      <c r="P8" s="2"/>
      <c r="Q8" s="2"/>
    </row>
    <row r="9" spans="1:17" ht="15.75" thickBot="1" x14ac:dyDescent="0.3">
      <c r="A9" s="13">
        <v>7</v>
      </c>
      <c r="B9" s="24"/>
      <c r="C9" s="33" t="s">
        <v>65</v>
      </c>
      <c r="D9" s="35" t="s">
        <v>66</v>
      </c>
      <c r="E9" s="35" t="s">
        <v>51</v>
      </c>
      <c r="F9" s="35" t="s">
        <v>67</v>
      </c>
      <c r="G9" s="3" t="s">
        <v>199</v>
      </c>
      <c r="H9" s="11" t="s">
        <v>37</v>
      </c>
      <c r="I9" s="35" t="s">
        <v>148</v>
      </c>
      <c r="J9" s="38">
        <v>1</v>
      </c>
      <c r="K9" s="5">
        <v>400</v>
      </c>
      <c r="L9" s="15" t="s">
        <v>21</v>
      </c>
      <c r="M9" s="39">
        <v>0.1024</v>
      </c>
      <c r="N9" s="8">
        <f t="shared" si="0"/>
        <v>40.96</v>
      </c>
      <c r="O9" s="4"/>
      <c r="P9" s="2"/>
      <c r="Q9" s="2"/>
    </row>
    <row r="10" spans="1:17" ht="45.75" thickBot="1" x14ac:dyDescent="0.3">
      <c r="A10" s="13">
        <v>8</v>
      </c>
      <c r="B10" s="24"/>
      <c r="C10" s="33" t="s">
        <v>68</v>
      </c>
      <c r="D10" s="35" t="s">
        <v>69</v>
      </c>
      <c r="E10" s="35"/>
      <c r="F10" s="35" t="s">
        <v>70</v>
      </c>
      <c r="G10" s="17"/>
      <c r="H10" s="11" t="s">
        <v>37</v>
      </c>
      <c r="I10" s="35" t="s">
        <v>149</v>
      </c>
      <c r="J10" s="38">
        <v>1</v>
      </c>
      <c r="K10" s="5">
        <v>400</v>
      </c>
      <c r="L10" s="6"/>
      <c r="M10" s="39"/>
      <c r="N10" s="8">
        <f t="shared" si="0"/>
        <v>0</v>
      </c>
      <c r="O10" s="4"/>
      <c r="P10" s="2"/>
      <c r="Q10" s="2"/>
    </row>
    <row r="11" spans="1:17" ht="45.75" thickBot="1" x14ac:dyDescent="0.3">
      <c r="A11" s="13">
        <v>9</v>
      </c>
      <c r="B11" s="24"/>
      <c r="C11" s="33" t="s">
        <v>71</v>
      </c>
      <c r="D11" s="35" t="s">
        <v>72</v>
      </c>
      <c r="E11" s="35"/>
      <c r="F11" s="35" t="s">
        <v>73</v>
      </c>
      <c r="G11" s="17"/>
      <c r="H11" s="11"/>
      <c r="I11" s="35" t="s">
        <v>149</v>
      </c>
      <c r="J11" s="38">
        <v>2</v>
      </c>
      <c r="K11" s="5">
        <v>800</v>
      </c>
      <c r="L11" s="6"/>
      <c r="M11" s="39"/>
      <c r="N11" s="8">
        <f t="shared" si="0"/>
        <v>0</v>
      </c>
      <c r="O11" s="4"/>
      <c r="P11" s="2"/>
      <c r="Q11" s="2"/>
    </row>
    <row r="12" spans="1:17" ht="15.75" thickBot="1" x14ac:dyDescent="0.3">
      <c r="A12" s="13">
        <v>10</v>
      </c>
      <c r="B12" s="24"/>
      <c r="C12" s="33" t="s">
        <v>74</v>
      </c>
      <c r="D12" s="35" t="s">
        <v>75</v>
      </c>
      <c r="E12" s="35"/>
      <c r="F12" s="35" t="s">
        <v>76</v>
      </c>
      <c r="G12" s="3"/>
      <c r="H12" s="11"/>
      <c r="I12" s="35" t="s">
        <v>26</v>
      </c>
      <c r="J12" s="38">
        <v>1</v>
      </c>
      <c r="K12" s="5">
        <v>400</v>
      </c>
      <c r="L12" s="6"/>
      <c r="M12" s="39"/>
      <c r="N12" s="8">
        <f t="shared" si="0"/>
        <v>0</v>
      </c>
      <c r="O12" s="4"/>
      <c r="P12" s="2"/>
      <c r="Q12" s="2"/>
    </row>
    <row r="13" spans="1:17" ht="60.75" thickBot="1" x14ac:dyDescent="0.3">
      <c r="A13" s="13">
        <v>11</v>
      </c>
      <c r="B13" s="24"/>
      <c r="C13" s="33" t="s">
        <v>77</v>
      </c>
      <c r="D13" s="35" t="s">
        <v>78</v>
      </c>
      <c r="E13" s="35" t="s">
        <v>79</v>
      </c>
      <c r="F13" s="35" t="s">
        <v>80</v>
      </c>
      <c r="G13" s="3"/>
      <c r="H13" s="11"/>
      <c r="I13" s="35" t="s">
        <v>25</v>
      </c>
      <c r="J13" s="38">
        <v>1</v>
      </c>
      <c r="K13" s="5">
        <v>400</v>
      </c>
      <c r="L13" s="6"/>
      <c r="M13" s="39"/>
      <c r="N13" s="8">
        <f t="shared" si="0"/>
        <v>0</v>
      </c>
      <c r="O13" s="26"/>
      <c r="P13" s="2"/>
      <c r="Q13" s="2"/>
    </row>
    <row r="14" spans="1:17" ht="15.75" thickBot="1" x14ac:dyDescent="0.3">
      <c r="A14" s="13">
        <v>12</v>
      </c>
      <c r="B14" s="25"/>
      <c r="C14" s="40" t="s">
        <v>200</v>
      </c>
      <c r="D14" s="41" t="s">
        <v>81</v>
      </c>
      <c r="E14" s="41" t="s">
        <v>5</v>
      </c>
      <c r="F14" s="41" t="s">
        <v>82</v>
      </c>
      <c r="G14" s="3" t="s">
        <v>195</v>
      </c>
      <c r="H14" s="11" t="s">
        <v>201</v>
      </c>
      <c r="I14" s="35" t="s">
        <v>150</v>
      </c>
      <c r="J14" s="38">
        <v>1</v>
      </c>
      <c r="K14" s="5">
        <v>400</v>
      </c>
      <c r="L14" s="15" t="s">
        <v>21</v>
      </c>
      <c r="M14" s="39">
        <v>0.35720000000000002</v>
      </c>
      <c r="N14" s="8">
        <f t="shared" si="0"/>
        <v>142.88</v>
      </c>
      <c r="O14" s="4"/>
      <c r="P14" s="2"/>
      <c r="Q14" s="2"/>
    </row>
    <row r="15" spans="1:17" ht="30.75" thickBot="1" x14ac:dyDescent="0.3">
      <c r="A15" s="13">
        <v>13</v>
      </c>
      <c r="B15" s="24" t="s">
        <v>17</v>
      </c>
      <c r="C15" s="33" t="s">
        <v>83</v>
      </c>
      <c r="D15" s="35" t="s">
        <v>84</v>
      </c>
      <c r="E15" s="35" t="s">
        <v>85</v>
      </c>
      <c r="F15" s="35" t="s">
        <v>86</v>
      </c>
      <c r="G15" s="3"/>
      <c r="H15" s="11"/>
      <c r="I15" s="3" t="s">
        <v>179</v>
      </c>
      <c r="J15" s="38">
        <v>1</v>
      </c>
      <c r="K15" s="5">
        <v>400</v>
      </c>
      <c r="L15" s="6"/>
      <c r="M15" s="39"/>
      <c r="N15" s="8">
        <f t="shared" si="0"/>
        <v>0</v>
      </c>
      <c r="O15" s="4"/>
      <c r="P15" s="2"/>
      <c r="Q15" s="2"/>
    </row>
    <row r="16" spans="1:17" ht="15.75" thickBot="1" x14ac:dyDescent="0.3">
      <c r="A16" s="13">
        <v>14</v>
      </c>
      <c r="B16" s="24"/>
      <c r="C16" s="40" t="s">
        <v>202</v>
      </c>
      <c r="D16" s="35" t="s">
        <v>87</v>
      </c>
      <c r="E16" s="41" t="s">
        <v>203</v>
      </c>
      <c r="F16" s="35" t="s">
        <v>88</v>
      </c>
      <c r="G16" s="14" t="s">
        <v>204</v>
      </c>
      <c r="H16" s="27" t="s">
        <v>23</v>
      </c>
      <c r="I16" s="3" t="s">
        <v>179</v>
      </c>
      <c r="J16" s="38">
        <v>1</v>
      </c>
      <c r="K16" s="16">
        <v>400</v>
      </c>
      <c r="L16" s="15" t="s">
        <v>21</v>
      </c>
      <c r="M16" s="39">
        <v>0.30769999999999997</v>
      </c>
      <c r="N16" s="8">
        <f t="shared" si="0"/>
        <v>123.07999999999998</v>
      </c>
      <c r="O16" s="28"/>
      <c r="P16" s="2"/>
      <c r="Q16" s="2"/>
    </row>
    <row r="17" spans="1:17" ht="30.75" thickBot="1" x14ac:dyDescent="0.3">
      <c r="A17" s="13">
        <v>15</v>
      </c>
      <c r="B17" s="25"/>
      <c r="C17" s="33" t="s">
        <v>89</v>
      </c>
      <c r="D17" s="35" t="s">
        <v>90</v>
      </c>
      <c r="E17" s="35"/>
      <c r="F17" s="35" t="s">
        <v>91</v>
      </c>
      <c r="G17" s="14"/>
      <c r="H17" s="27"/>
      <c r="I17" s="3" t="s">
        <v>179</v>
      </c>
      <c r="J17" s="38">
        <v>1</v>
      </c>
      <c r="K17" s="16">
        <v>400</v>
      </c>
      <c r="L17" s="6"/>
      <c r="M17" s="39"/>
      <c r="N17" s="8">
        <f t="shared" si="0"/>
        <v>0</v>
      </c>
      <c r="O17" s="28"/>
      <c r="P17" s="2"/>
      <c r="Q17" s="2"/>
    </row>
    <row r="18" spans="1:17" ht="15.75" thickBot="1" x14ac:dyDescent="0.3">
      <c r="A18" s="13">
        <v>16</v>
      </c>
      <c r="B18" s="19" t="s">
        <v>29</v>
      </c>
      <c r="C18" s="33" t="s">
        <v>92</v>
      </c>
      <c r="D18" s="35" t="s">
        <v>93</v>
      </c>
      <c r="E18" s="35" t="s">
        <v>35</v>
      </c>
      <c r="F18" s="35" t="s">
        <v>94</v>
      </c>
      <c r="G18" s="3" t="s">
        <v>205</v>
      </c>
      <c r="H18" s="3" t="s">
        <v>23</v>
      </c>
      <c r="I18" s="3" t="s">
        <v>179</v>
      </c>
      <c r="J18" s="3">
        <v>1</v>
      </c>
      <c r="K18" s="5">
        <v>400</v>
      </c>
      <c r="L18" s="15" t="s">
        <v>206</v>
      </c>
      <c r="M18" s="39">
        <v>0.59919999999999995</v>
      </c>
      <c r="N18" s="8">
        <f t="shared" si="0"/>
        <v>239.67999999999998</v>
      </c>
      <c r="O18" s="26"/>
      <c r="P18" s="2"/>
      <c r="Q18" s="2"/>
    </row>
    <row r="19" spans="1:17" ht="30.75" thickBot="1" x14ac:dyDescent="0.3">
      <c r="A19" s="13">
        <v>17</v>
      </c>
      <c r="B19" s="34" t="s">
        <v>109</v>
      </c>
      <c r="C19" s="33" t="s">
        <v>95</v>
      </c>
      <c r="D19" s="35" t="s">
        <v>96</v>
      </c>
      <c r="E19" s="35" t="s">
        <v>7</v>
      </c>
      <c r="F19" s="35" t="s">
        <v>97</v>
      </c>
      <c r="G19" s="3"/>
      <c r="H19" s="3"/>
      <c r="I19" s="3" t="s">
        <v>179</v>
      </c>
      <c r="J19" s="3"/>
      <c r="K19" s="5">
        <v>800</v>
      </c>
      <c r="L19" s="6"/>
      <c r="M19" s="39"/>
      <c r="N19" s="8">
        <f t="shared" si="0"/>
        <v>0</v>
      </c>
      <c r="O19" s="26"/>
      <c r="P19" s="2"/>
      <c r="Q19" s="2"/>
    </row>
    <row r="20" spans="1:17" ht="30.75" thickBot="1" x14ac:dyDescent="0.3">
      <c r="A20" s="13">
        <v>18</v>
      </c>
      <c r="B20" s="23" t="s">
        <v>108</v>
      </c>
      <c r="C20" s="33" t="s">
        <v>98</v>
      </c>
      <c r="D20" s="35" t="s">
        <v>99</v>
      </c>
      <c r="E20" s="35"/>
      <c r="F20" s="35" t="s">
        <v>100</v>
      </c>
      <c r="G20" s="3"/>
      <c r="H20" s="4"/>
      <c r="I20" s="3" t="s">
        <v>179</v>
      </c>
      <c r="J20" s="3"/>
      <c r="K20" s="5">
        <v>2000</v>
      </c>
      <c r="L20" s="6"/>
      <c r="M20" s="39"/>
      <c r="N20" s="8">
        <f t="shared" si="0"/>
        <v>0</v>
      </c>
      <c r="O20" s="4"/>
      <c r="P20" s="2"/>
      <c r="Q20" s="2"/>
    </row>
    <row r="21" spans="1:17" ht="15.75" thickBot="1" x14ac:dyDescent="0.3">
      <c r="A21" s="13">
        <v>19</v>
      </c>
      <c r="B21" s="24"/>
      <c r="C21" s="33" t="s">
        <v>101</v>
      </c>
      <c r="D21" s="35" t="s">
        <v>102</v>
      </c>
      <c r="E21" s="35" t="s">
        <v>103</v>
      </c>
      <c r="F21" s="35" t="s">
        <v>104</v>
      </c>
      <c r="G21" s="3"/>
      <c r="H21" s="3"/>
      <c r="I21" s="3" t="s">
        <v>179</v>
      </c>
      <c r="J21" s="3"/>
      <c r="K21" s="5">
        <v>400</v>
      </c>
      <c r="L21" s="6"/>
      <c r="M21" s="39"/>
      <c r="N21" s="8">
        <f t="shared" si="0"/>
        <v>0</v>
      </c>
      <c r="O21" s="4"/>
      <c r="P21" s="2"/>
      <c r="Q21" s="2"/>
    </row>
    <row r="22" spans="1:17" ht="15.75" thickBot="1" x14ac:dyDescent="0.3">
      <c r="A22" s="13">
        <v>20</v>
      </c>
      <c r="B22" s="25"/>
      <c r="C22" s="33" t="s">
        <v>105</v>
      </c>
      <c r="D22" s="35" t="s">
        <v>106</v>
      </c>
      <c r="E22" s="35"/>
      <c r="F22" s="35" t="s">
        <v>107</v>
      </c>
      <c r="G22" s="3"/>
      <c r="H22" s="3"/>
      <c r="I22" s="3" t="s">
        <v>179</v>
      </c>
      <c r="J22" s="3">
        <v>1</v>
      </c>
      <c r="K22" s="5">
        <v>400</v>
      </c>
      <c r="L22" s="15" t="s">
        <v>22</v>
      </c>
      <c r="M22" s="39">
        <v>0.94099999999999995</v>
      </c>
      <c r="N22" s="8">
        <f t="shared" si="0"/>
        <v>376.4</v>
      </c>
      <c r="O22" s="4"/>
      <c r="P22" s="2"/>
      <c r="Q22" s="2"/>
    </row>
    <row r="23" spans="1:17" ht="45.75" thickBot="1" x14ac:dyDescent="0.3">
      <c r="A23" s="13">
        <v>21</v>
      </c>
      <c r="B23" s="23" t="s">
        <v>18</v>
      </c>
      <c r="C23" s="33" t="s">
        <v>110</v>
      </c>
      <c r="D23" s="35" t="s">
        <v>111</v>
      </c>
      <c r="E23" s="35" t="s">
        <v>36</v>
      </c>
      <c r="F23" s="35" t="s">
        <v>112</v>
      </c>
      <c r="G23" s="3" t="s">
        <v>195</v>
      </c>
      <c r="H23" s="3" t="s">
        <v>23</v>
      </c>
      <c r="I23" s="35" t="s">
        <v>28</v>
      </c>
      <c r="J23" s="38">
        <v>15</v>
      </c>
      <c r="K23" s="12">
        <v>600</v>
      </c>
      <c r="L23" s="15" t="s">
        <v>21</v>
      </c>
      <c r="M23" s="39">
        <v>9.7000000000000003E-3</v>
      </c>
      <c r="N23" s="8">
        <f t="shared" si="0"/>
        <v>5.82</v>
      </c>
      <c r="O23" s="4"/>
      <c r="P23" s="2"/>
      <c r="Q23" s="2"/>
    </row>
    <row r="24" spans="1:17" ht="15.75" thickBot="1" x14ac:dyDescent="0.3">
      <c r="A24" s="13">
        <v>22</v>
      </c>
      <c r="B24" s="24"/>
      <c r="C24" s="33" t="s">
        <v>113</v>
      </c>
      <c r="D24" s="35" t="s">
        <v>114</v>
      </c>
      <c r="E24" s="35" t="s">
        <v>36</v>
      </c>
      <c r="F24" s="35" t="s">
        <v>115</v>
      </c>
      <c r="G24" s="3" t="s">
        <v>195</v>
      </c>
      <c r="H24" s="3" t="s">
        <v>207</v>
      </c>
      <c r="I24" s="35" t="s">
        <v>138</v>
      </c>
      <c r="J24" s="38">
        <v>3</v>
      </c>
      <c r="K24" s="12">
        <v>1200</v>
      </c>
      <c r="L24" s="15" t="s">
        <v>21</v>
      </c>
      <c r="M24" s="39">
        <v>3.0500000000000002E-3</v>
      </c>
      <c r="N24" s="8">
        <f t="shared" si="0"/>
        <v>3.66</v>
      </c>
      <c r="O24" s="4"/>
      <c r="P24" s="2"/>
      <c r="Q24" s="2"/>
    </row>
    <row r="25" spans="1:17" ht="15.75" thickBot="1" x14ac:dyDescent="0.3">
      <c r="A25" s="13">
        <v>23</v>
      </c>
      <c r="B25" s="24"/>
      <c r="C25" s="33" t="s">
        <v>116</v>
      </c>
      <c r="D25" s="35" t="s">
        <v>117</v>
      </c>
      <c r="E25" s="35" t="s">
        <v>36</v>
      </c>
      <c r="F25" s="35" t="s">
        <v>118</v>
      </c>
      <c r="G25" s="3" t="s">
        <v>195</v>
      </c>
      <c r="H25" s="3" t="s">
        <v>23</v>
      </c>
      <c r="I25" s="35" t="s">
        <v>139</v>
      </c>
      <c r="J25" s="38">
        <v>3</v>
      </c>
      <c r="K25" s="12">
        <v>1200</v>
      </c>
      <c r="L25" s="15" t="s">
        <v>21</v>
      </c>
      <c r="M25" s="39">
        <v>3.5999999999999999E-3</v>
      </c>
      <c r="N25" s="8">
        <f t="shared" si="0"/>
        <v>4.32</v>
      </c>
      <c r="O25" s="4"/>
      <c r="P25" s="2"/>
      <c r="Q25" s="2"/>
    </row>
    <row r="26" spans="1:17" ht="15.75" thickBot="1" x14ac:dyDescent="0.3">
      <c r="A26" s="13">
        <v>24</v>
      </c>
      <c r="B26" s="24"/>
      <c r="C26" s="33" t="s">
        <v>119</v>
      </c>
      <c r="D26" s="35" t="s">
        <v>120</v>
      </c>
      <c r="E26" s="35" t="s">
        <v>36</v>
      </c>
      <c r="F26" s="35" t="s">
        <v>121</v>
      </c>
      <c r="G26" s="3" t="s">
        <v>195</v>
      </c>
      <c r="H26" s="3" t="s">
        <v>23</v>
      </c>
      <c r="I26" s="35" t="s">
        <v>140</v>
      </c>
      <c r="J26" s="38">
        <v>6</v>
      </c>
      <c r="K26" s="12">
        <v>2400</v>
      </c>
      <c r="L26" s="15" t="s">
        <v>21</v>
      </c>
      <c r="M26" s="39">
        <v>4.3600000000000002E-3</v>
      </c>
      <c r="N26" s="8">
        <f t="shared" si="0"/>
        <v>10.464</v>
      </c>
      <c r="O26" s="4"/>
      <c r="P26" s="2"/>
      <c r="Q26" s="2"/>
    </row>
    <row r="27" spans="1:17" ht="15.75" thickBot="1" x14ac:dyDescent="0.3">
      <c r="A27" s="13">
        <v>25</v>
      </c>
      <c r="B27" s="24"/>
      <c r="C27" s="33" t="s">
        <v>122</v>
      </c>
      <c r="D27" s="35" t="s">
        <v>123</v>
      </c>
      <c r="E27" s="35" t="s">
        <v>36</v>
      </c>
      <c r="F27" s="35" t="s">
        <v>124</v>
      </c>
      <c r="G27" s="3" t="s">
        <v>208</v>
      </c>
      <c r="H27" s="3" t="s">
        <v>23</v>
      </c>
      <c r="I27" s="35" t="s">
        <v>141</v>
      </c>
      <c r="J27" s="38">
        <v>1</v>
      </c>
      <c r="K27" s="12">
        <v>400</v>
      </c>
      <c r="L27" s="15" t="s">
        <v>21</v>
      </c>
      <c r="M27" s="39">
        <v>6.7999999999999996E-3</v>
      </c>
      <c r="N27" s="8">
        <f t="shared" si="0"/>
        <v>2.7199999999999998</v>
      </c>
      <c r="O27" s="4"/>
      <c r="P27" s="2"/>
      <c r="Q27" s="2"/>
    </row>
    <row r="28" spans="1:17" ht="30.75" thickBot="1" x14ac:dyDescent="0.3">
      <c r="A28" s="13">
        <v>26</v>
      </c>
      <c r="B28" s="24"/>
      <c r="C28" s="33" t="s">
        <v>125</v>
      </c>
      <c r="D28" s="35" t="s">
        <v>126</v>
      </c>
      <c r="E28" s="35" t="s">
        <v>127</v>
      </c>
      <c r="F28" s="35" t="s">
        <v>128</v>
      </c>
      <c r="G28" s="3"/>
      <c r="H28" s="3"/>
      <c r="I28" s="35" t="s">
        <v>142</v>
      </c>
      <c r="J28" s="38">
        <v>2</v>
      </c>
      <c r="K28" s="12">
        <v>800</v>
      </c>
      <c r="L28" s="6"/>
      <c r="M28" s="39"/>
      <c r="N28" s="8">
        <f t="shared" si="0"/>
        <v>0</v>
      </c>
      <c r="O28" s="4"/>
      <c r="P28" s="2"/>
      <c r="Q28" s="2"/>
    </row>
    <row r="29" spans="1:17" ht="15.75" thickBot="1" x14ac:dyDescent="0.3">
      <c r="A29" s="13">
        <v>27</v>
      </c>
      <c r="B29" s="24"/>
      <c r="C29" s="33" t="s">
        <v>129</v>
      </c>
      <c r="D29" s="35" t="s">
        <v>130</v>
      </c>
      <c r="E29" s="35" t="s">
        <v>127</v>
      </c>
      <c r="F29" s="35" t="s">
        <v>131</v>
      </c>
      <c r="G29" s="3"/>
      <c r="H29" s="3"/>
      <c r="I29" s="35" t="s">
        <v>143</v>
      </c>
      <c r="J29" s="38">
        <v>1</v>
      </c>
      <c r="K29" s="12">
        <v>400</v>
      </c>
      <c r="L29" s="6"/>
      <c r="M29" s="39"/>
      <c r="N29" s="8">
        <f t="shared" si="0"/>
        <v>0</v>
      </c>
      <c r="O29" s="4"/>
      <c r="P29" s="2"/>
      <c r="Q29" s="2"/>
    </row>
    <row r="30" spans="1:17" ht="15.75" thickBot="1" x14ac:dyDescent="0.3">
      <c r="A30" s="13">
        <v>28</v>
      </c>
      <c r="B30" s="24"/>
      <c r="C30" s="33" t="s">
        <v>132</v>
      </c>
      <c r="D30" s="35" t="s">
        <v>133</v>
      </c>
      <c r="E30" s="35" t="s">
        <v>27</v>
      </c>
      <c r="F30" s="35" t="s">
        <v>134</v>
      </c>
      <c r="G30" s="3"/>
      <c r="H30" s="3"/>
      <c r="I30" s="35" t="s">
        <v>144</v>
      </c>
      <c r="J30" s="38">
        <v>1</v>
      </c>
      <c r="K30" s="12">
        <v>400</v>
      </c>
      <c r="L30" s="6"/>
      <c r="M30" s="39"/>
      <c r="N30" s="8">
        <f t="shared" si="0"/>
        <v>0</v>
      </c>
      <c r="O30" s="4"/>
      <c r="P30" s="2"/>
      <c r="Q30" s="2"/>
    </row>
    <row r="31" spans="1:17" ht="45.75" thickBot="1" x14ac:dyDescent="0.3">
      <c r="A31" s="13">
        <v>29</v>
      </c>
      <c r="B31" s="25"/>
      <c r="C31" s="33" t="s">
        <v>135</v>
      </c>
      <c r="D31" s="35" t="s">
        <v>136</v>
      </c>
      <c r="E31" s="35" t="s">
        <v>36</v>
      </c>
      <c r="F31" s="35" t="s">
        <v>137</v>
      </c>
      <c r="G31" s="3" t="s">
        <v>208</v>
      </c>
      <c r="H31" s="3" t="s">
        <v>209</v>
      </c>
      <c r="I31" s="35" t="s">
        <v>145</v>
      </c>
      <c r="J31" s="38">
        <v>8</v>
      </c>
      <c r="K31" s="5">
        <v>3200</v>
      </c>
      <c r="L31" s="15" t="s">
        <v>21</v>
      </c>
      <c r="M31" s="39">
        <v>2.64E-3</v>
      </c>
      <c r="N31" s="8">
        <f t="shared" si="0"/>
        <v>8.4480000000000004</v>
      </c>
      <c r="O31" s="4"/>
      <c r="P31" s="2"/>
      <c r="Q31" s="2"/>
    </row>
    <row r="32" spans="1:17" ht="15.75" thickBot="1" x14ac:dyDescent="0.3">
      <c r="A32" s="13">
        <v>30</v>
      </c>
      <c r="B32" s="34" t="s">
        <v>154</v>
      </c>
      <c r="C32" s="33" t="s">
        <v>151</v>
      </c>
      <c r="D32" s="35" t="s">
        <v>152</v>
      </c>
      <c r="E32" s="35"/>
      <c r="F32" s="35" t="s">
        <v>153</v>
      </c>
      <c r="G32" s="3"/>
      <c r="H32" s="3"/>
      <c r="I32" s="3"/>
      <c r="J32" s="3"/>
      <c r="K32" s="5">
        <v>400</v>
      </c>
      <c r="L32" s="6"/>
      <c r="M32" s="4"/>
      <c r="N32" s="8">
        <f t="shared" si="0"/>
        <v>0</v>
      </c>
      <c r="O32" s="4"/>
      <c r="P32" s="2"/>
      <c r="Q32" s="2"/>
    </row>
    <row r="33" spans="1:17" ht="15.75" thickBot="1" x14ac:dyDescent="0.3">
      <c r="A33" s="13">
        <v>31</v>
      </c>
      <c r="B33" s="23" t="s">
        <v>19</v>
      </c>
      <c r="C33" s="33" t="s">
        <v>155</v>
      </c>
      <c r="D33" s="35" t="s">
        <v>30</v>
      </c>
      <c r="E33" s="35"/>
      <c r="F33" s="35" t="s">
        <v>156</v>
      </c>
      <c r="G33" s="3"/>
      <c r="H33" s="3"/>
      <c r="I33" s="3"/>
      <c r="J33" s="3"/>
      <c r="K33" s="5">
        <v>900</v>
      </c>
      <c r="L33" s="6"/>
      <c r="M33" s="4"/>
      <c r="N33" s="8">
        <f t="shared" si="0"/>
        <v>0</v>
      </c>
      <c r="O33" s="4"/>
      <c r="P33" s="2"/>
      <c r="Q33" s="2"/>
    </row>
    <row r="34" spans="1:17" ht="30.75" thickBot="1" x14ac:dyDescent="0.3">
      <c r="A34" s="13">
        <v>32</v>
      </c>
      <c r="B34" s="24"/>
      <c r="C34" s="33" t="s">
        <v>157</v>
      </c>
      <c r="D34" s="35" t="s">
        <v>31</v>
      </c>
      <c r="E34" s="35"/>
      <c r="F34" s="35" t="s">
        <v>158</v>
      </c>
      <c r="G34" s="3"/>
      <c r="H34" s="3"/>
      <c r="I34" s="3"/>
      <c r="J34" s="37"/>
      <c r="K34" s="36">
        <v>400</v>
      </c>
      <c r="L34" s="6"/>
      <c r="M34" s="4"/>
      <c r="N34" s="8">
        <f t="shared" si="0"/>
        <v>0</v>
      </c>
      <c r="O34" s="4"/>
      <c r="P34" s="2"/>
      <c r="Q34" s="2"/>
    </row>
    <row r="35" spans="1:17" ht="45.75" thickBot="1" x14ac:dyDescent="0.3">
      <c r="A35" s="13">
        <v>33</v>
      </c>
      <c r="B35" s="24"/>
      <c r="C35" s="33" t="s">
        <v>159</v>
      </c>
      <c r="D35" s="35" t="s">
        <v>32</v>
      </c>
      <c r="E35" s="35" t="s">
        <v>160</v>
      </c>
      <c r="F35" s="35" t="s">
        <v>161</v>
      </c>
      <c r="G35" s="3"/>
      <c r="H35" s="3"/>
      <c r="I35" s="3"/>
      <c r="J35" s="37"/>
      <c r="K35" s="36">
        <v>400</v>
      </c>
      <c r="L35" s="6"/>
      <c r="M35" s="4"/>
      <c r="N35" s="8">
        <f t="shared" si="0"/>
        <v>0</v>
      </c>
      <c r="O35" s="4"/>
      <c r="P35" s="2"/>
      <c r="Q35" s="2"/>
    </row>
    <row r="36" spans="1:17" ht="15.75" thickBot="1" x14ac:dyDescent="0.3">
      <c r="A36" s="13">
        <v>34</v>
      </c>
      <c r="B36" s="24"/>
      <c r="C36" s="33" t="s">
        <v>162</v>
      </c>
      <c r="D36" s="35" t="s">
        <v>33</v>
      </c>
      <c r="E36" s="35"/>
      <c r="F36" s="35" t="s">
        <v>163</v>
      </c>
      <c r="G36" s="3"/>
      <c r="H36" s="3"/>
      <c r="I36" s="3"/>
      <c r="J36" s="37"/>
      <c r="K36" s="36">
        <v>400</v>
      </c>
      <c r="L36" s="6"/>
      <c r="M36" s="4"/>
      <c r="N36" s="8">
        <f t="shared" si="0"/>
        <v>0</v>
      </c>
      <c r="O36" s="4"/>
      <c r="P36" s="2"/>
      <c r="Q36" s="2"/>
    </row>
    <row r="37" spans="1:17" ht="30.75" thickBot="1" x14ac:dyDescent="0.3">
      <c r="A37" s="13">
        <v>35</v>
      </c>
      <c r="B37" s="24"/>
      <c r="C37" s="33" t="s">
        <v>164</v>
      </c>
      <c r="D37" s="35" t="s">
        <v>165</v>
      </c>
      <c r="E37" s="35"/>
      <c r="F37" s="35" t="s">
        <v>166</v>
      </c>
      <c r="G37" s="3"/>
      <c r="H37" s="3"/>
      <c r="I37" s="3"/>
      <c r="J37" s="37"/>
      <c r="K37" s="36">
        <v>400</v>
      </c>
      <c r="L37" s="15"/>
      <c r="M37" s="4"/>
      <c r="N37" s="8">
        <f t="shared" si="0"/>
        <v>0</v>
      </c>
      <c r="O37" s="4"/>
      <c r="P37" s="2"/>
      <c r="Q37" s="2"/>
    </row>
    <row r="38" spans="1:17" ht="30.75" thickBot="1" x14ac:dyDescent="0.3">
      <c r="A38" s="13">
        <v>36</v>
      </c>
      <c r="B38" s="24"/>
      <c r="C38" s="33" t="s">
        <v>167</v>
      </c>
      <c r="D38" s="35" t="s">
        <v>34</v>
      </c>
      <c r="E38" s="35"/>
      <c r="F38" s="35" t="s">
        <v>168</v>
      </c>
      <c r="G38" s="3"/>
      <c r="H38" s="3"/>
      <c r="I38" s="3"/>
      <c r="J38" s="37"/>
      <c r="K38" s="36">
        <v>400</v>
      </c>
      <c r="L38" s="6"/>
      <c r="M38" s="4"/>
      <c r="N38" s="8">
        <f t="shared" si="0"/>
        <v>0</v>
      </c>
      <c r="O38" s="4"/>
      <c r="P38" s="2"/>
      <c r="Q38" s="2"/>
    </row>
    <row r="39" spans="1:17" ht="45.75" thickBot="1" x14ac:dyDescent="0.3">
      <c r="A39" s="13">
        <v>37</v>
      </c>
      <c r="B39" s="25"/>
      <c r="C39" s="33" t="s">
        <v>169</v>
      </c>
      <c r="D39" s="35" t="s">
        <v>38</v>
      </c>
      <c r="E39" s="35"/>
      <c r="F39" s="35" t="s">
        <v>170</v>
      </c>
      <c r="G39" s="3"/>
      <c r="H39" s="3"/>
      <c r="I39" s="3"/>
      <c r="J39" s="37"/>
      <c r="K39" s="36">
        <v>400</v>
      </c>
      <c r="L39" s="6"/>
      <c r="M39" s="4"/>
      <c r="N39" s="8">
        <f t="shared" si="0"/>
        <v>0</v>
      </c>
      <c r="O39" s="26"/>
      <c r="P39" s="2"/>
      <c r="Q39" s="2"/>
    </row>
    <row r="40" spans="1:17" ht="15.75" thickBot="1" x14ac:dyDescent="0.3">
      <c r="A40" s="13">
        <v>38</v>
      </c>
      <c r="B40" s="31" t="s">
        <v>177</v>
      </c>
      <c r="C40" s="30" t="s">
        <v>171</v>
      </c>
      <c r="D40" s="35" t="s">
        <v>172</v>
      </c>
      <c r="E40" s="35"/>
      <c r="F40" s="35" t="s">
        <v>173</v>
      </c>
      <c r="G40" s="14"/>
      <c r="H40" s="3"/>
      <c r="I40" s="3"/>
      <c r="J40" s="37"/>
      <c r="K40" s="36">
        <v>400</v>
      </c>
      <c r="L40" s="6"/>
      <c r="M40" s="4"/>
      <c r="N40" s="8">
        <f t="shared" si="0"/>
        <v>0</v>
      </c>
      <c r="O40" s="4"/>
      <c r="P40" s="2"/>
      <c r="Q40" s="2"/>
    </row>
    <row r="41" spans="1:17" ht="30.75" thickBot="1" x14ac:dyDescent="0.3">
      <c r="A41" s="13">
        <v>39</v>
      </c>
      <c r="B41" s="32"/>
      <c r="C41" s="30" t="s">
        <v>174</v>
      </c>
      <c r="D41" s="35" t="s">
        <v>175</v>
      </c>
      <c r="E41" s="35"/>
      <c r="F41" s="35" t="s">
        <v>176</v>
      </c>
      <c r="G41" s="14"/>
      <c r="H41" s="3"/>
      <c r="I41" s="3"/>
      <c r="J41" s="37"/>
      <c r="K41" s="36">
        <v>400</v>
      </c>
      <c r="L41" s="6"/>
      <c r="M41" s="4"/>
      <c r="N41" s="8">
        <f t="shared" si="0"/>
        <v>0</v>
      </c>
      <c r="O41" s="26"/>
      <c r="P41" s="2"/>
      <c r="Q41" s="2"/>
    </row>
    <row r="42" spans="1:17" ht="30.75" thickBot="1" x14ac:dyDescent="0.3">
      <c r="A42" s="13">
        <v>40</v>
      </c>
      <c r="B42" s="29"/>
      <c r="C42" s="30" t="s">
        <v>180</v>
      </c>
      <c r="D42" s="35" t="s">
        <v>181</v>
      </c>
      <c r="E42" s="30" t="s">
        <v>182</v>
      </c>
      <c r="F42" s="30" t="s">
        <v>183</v>
      </c>
      <c r="G42" s="3"/>
      <c r="H42" s="3"/>
      <c r="I42" s="3"/>
      <c r="J42" s="37"/>
      <c r="K42" s="36">
        <v>400</v>
      </c>
      <c r="L42" s="6"/>
      <c r="M42" s="4"/>
      <c r="N42" s="8">
        <f t="shared" si="0"/>
        <v>0</v>
      </c>
      <c r="O42" s="4"/>
      <c r="P42" s="2"/>
      <c r="Q42" s="2"/>
    </row>
    <row r="43" spans="1:17" ht="15.75" thickBot="1" x14ac:dyDescent="0.3">
      <c r="A43" s="13">
        <v>42</v>
      </c>
      <c r="B43" s="31" t="s">
        <v>20</v>
      </c>
      <c r="C43" s="30" t="s">
        <v>39</v>
      </c>
      <c r="D43" s="35" t="s">
        <v>184</v>
      </c>
      <c r="E43" s="30" t="s">
        <v>185</v>
      </c>
      <c r="F43" s="30" t="s">
        <v>186</v>
      </c>
      <c r="G43" s="14"/>
      <c r="H43" s="3"/>
      <c r="I43" s="3"/>
      <c r="J43" s="3"/>
      <c r="K43" s="5">
        <v>800</v>
      </c>
      <c r="L43" s="6"/>
      <c r="M43" s="4"/>
      <c r="N43" s="8">
        <f t="shared" si="0"/>
        <v>0</v>
      </c>
      <c r="O43" s="4"/>
      <c r="P43" s="2"/>
      <c r="Q43" s="2"/>
    </row>
    <row r="44" spans="1:17" ht="30.75" thickBot="1" x14ac:dyDescent="0.3">
      <c r="A44" s="13">
        <v>43</v>
      </c>
      <c r="B44" s="32"/>
      <c r="C44" s="30" t="s">
        <v>187</v>
      </c>
      <c r="D44" s="35" t="s">
        <v>188</v>
      </c>
      <c r="E44" s="30" t="s">
        <v>189</v>
      </c>
      <c r="F44" s="30" t="s">
        <v>190</v>
      </c>
      <c r="G44" s="14"/>
      <c r="H44" s="3"/>
      <c r="I44" s="3"/>
      <c r="J44" s="3"/>
      <c r="K44" s="5">
        <v>400</v>
      </c>
      <c r="L44" s="6"/>
      <c r="M44" s="4"/>
      <c r="N44" s="8">
        <f t="shared" si="0"/>
        <v>0</v>
      </c>
      <c r="O44" s="4"/>
      <c r="P44" s="2"/>
      <c r="Q44" s="2"/>
    </row>
    <row r="45" spans="1:17" ht="30.75" thickBot="1" x14ac:dyDescent="0.3">
      <c r="A45" s="13">
        <v>44</v>
      </c>
      <c r="B45" s="32"/>
      <c r="C45" s="30" t="s">
        <v>9</v>
      </c>
      <c r="D45" s="35" t="s">
        <v>191</v>
      </c>
      <c r="E45" s="30" t="s">
        <v>8</v>
      </c>
      <c r="F45" s="30" t="s">
        <v>8</v>
      </c>
      <c r="G45" s="3"/>
      <c r="H45" s="3"/>
      <c r="I45" s="3"/>
      <c r="J45" s="3"/>
      <c r="K45" s="5">
        <v>2800</v>
      </c>
      <c r="L45" s="7"/>
      <c r="M45" s="4"/>
      <c r="N45" s="8">
        <f t="shared" si="0"/>
        <v>0</v>
      </c>
      <c r="O45" s="4"/>
      <c r="P45" s="2"/>
      <c r="Q45" s="2"/>
    </row>
    <row r="46" spans="1:17" x14ac:dyDescent="0.25">
      <c r="A46" s="13">
        <v>45</v>
      </c>
      <c r="B46" s="32"/>
      <c r="C46" s="30" t="s">
        <v>40</v>
      </c>
      <c r="D46" s="35" t="s">
        <v>192</v>
      </c>
      <c r="E46" s="30" t="s">
        <v>41</v>
      </c>
      <c r="F46" s="30" t="s">
        <v>41</v>
      </c>
      <c r="G46" s="3"/>
      <c r="H46" s="3"/>
      <c r="I46" s="3"/>
      <c r="J46" s="3"/>
      <c r="K46" s="5">
        <v>2400</v>
      </c>
      <c r="L46" s="7"/>
      <c r="M46" s="4"/>
      <c r="N46" s="8">
        <f t="shared" si="0"/>
        <v>0</v>
      </c>
      <c r="O46" s="4"/>
      <c r="P46" s="2"/>
      <c r="Q46" s="2"/>
    </row>
    <row r="47" spans="1:17" x14ac:dyDescent="0.25">
      <c r="A47"/>
      <c r="E47"/>
      <c r="F47"/>
      <c r="I47"/>
      <c r="J47"/>
      <c r="P47" s="2"/>
      <c r="Q47" s="2"/>
    </row>
    <row r="48" spans="1:17" x14ac:dyDescent="0.25">
      <c r="A48"/>
      <c r="E48"/>
      <c r="F48"/>
      <c r="I48"/>
      <c r="J48"/>
      <c r="P48" s="2"/>
      <c r="Q48" s="2"/>
    </row>
    <row r="49" spans="1:17" x14ac:dyDescent="0.25">
      <c r="A49"/>
      <c r="E49"/>
      <c r="F49"/>
      <c r="I49"/>
      <c r="J49"/>
      <c r="P49" s="2"/>
      <c r="Q49" s="2"/>
    </row>
    <row r="50" spans="1:17" x14ac:dyDescent="0.25">
      <c r="A50"/>
      <c r="E50"/>
      <c r="F50"/>
      <c r="I50"/>
      <c r="J50"/>
      <c r="P50" s="2"/>
      <c r="Q50" s="2"/>
    </row>
    <row r="51" spans="1:17" x14ac:dyDescent="0.25">
      <c r="A51"/>
      <c r="E51"/>
      <c r="F51"/>
      <c r="I51"/>
      <c r="J51"/>
      <c r="P51" s="2"/>
      <c r="Q51" s="2"/>
    </row>
    <row r="52" spans="1:17" x14ac:dyDescent="0.25">
      <c r="A52"/>
      <c r="E52"/>
      <c r="F52"/>
      <c r="I52"/>
      <c r="J52"/>
      <c r="P52" s="2"/>
      <c r="Q52" s="2"/>
    </row>
    <row r="53" spans="1:17" x14ac:dyDescent="0.25">
      <c r="A53"/>
      <c r="E53"/>
      <c r="F53"/>
      <c r="I53"/>
      <c r="J53"/>
      <c r="P53" s="2"/>
      <c r="Q53" s="2"/>
    </row>
    <row r="54" spans="1:17" x14ac:dyDescent="0.25">
      <c r="A54"/>
      <c r="E54"/>
      <c r="F54"/>
      <c r="I54"/>
      <c r="J54"/>
      <c r="P54" s="2"/>
      <c r="Q54" s="2"/>
    </row>
    <row r="55" spans="1:17" x14ac:dyDescent="0.25">
      <c r="A55"/>
      <c r="E55"/>
      <c r="F55"/>
      <c r="I55"/>
      <c r="J55"/>
      <c r="P55" s="2"/>
      <c r="Q55" s="2"/>
    </row>
    <row r="56" spans="1:17" ht="15.75" customHeight="1" x14ac:dyDescent="0.25">
      <c r="A56"/>
      <c r="E56"/>
      <c r="F56"/>
      <c r="I56"/>
      <c r="J56"/>
      <c r="P56" s="2"/>
      <c r="Q56" s="2"/>
    </row>
    <row r="57" spans="1:17" ht="15.75" customHeight="1" x14ac:dyDescent="0.25">
      <c r="A57"/>
      <c r="E57"/>
      <c r="F57"/>
      <c r="I57"/>
      <c r="J57"/>
      <c r="P57" s="2"/>
      <c r="Q57" s="2"/>
    </row>
    <row r="58" spans="1:17" ht="15.75" customHeight="1" x14ac:dyDescent="0.25">
      <c r="A58"/>
      <c r="E58"/>
      <c r="F58"/>
      <c r="I58"/>
      <c r="J58"/>
      <c r="P58" s="2"/>
      <c r="Q58" s="2"/>
    </row>
    <row r="59" spans="1:17" x14ac:dyDescent="0.25">
      <c r="A59"/>
      <c r="E59"/>
      <c r="F59"/>
      <c r="I59"/>
      <c r="J59"/>
      <c r="P59" s="2"/>
      <c r="Q59" s="2"/>
    </row>
    <row r="60" spans="1:17" x14ac:dyDescent="0.25">
      <c r="A60"/>
      <c r="E60"/>
      <c r="F60"/>
      <c r="I60"/>
      <c r="J60"/>
      <c r="P60" s="2"/>
      <c r="Q60" s="2"/>
    </row>
    <row r="61" spans="1:17" x14ac:dyDescent="0.25">
      <c r="A61"/>
      <c r="E61"/>
      <c r="F61"/>
      <c r="I61"/>
      <c r="J61"/>
    </row>
    <row r="62" spans="1:17" x14ac:dyDescent="0.25">
      <c r="A62"/>
      <c r="E62"/>
      <c r="F62"/>
      <c r="I62"/>
      <c r="J62"/>
    </row>
    <row r="63" spans="1:17" x14ac:dyDescent="0.25">
      <c r="A63"/>
      <c r="E63"/>
      <c r="F63"/>
      <c r="I63"/>
      <c r="J63"/>
    </row>
    <row r="64" spans="1:17" x14ac:dyDescent="0.25">
      <c r="A64"/>
      <c r="E64"/>
      <c r="F64"/>
      <c r="I64"/>
      <c r="J64"/>
    </row>
    <row r="65" spans="12:14" ht="18.75" x14ac:dyDescent="0.3">
      <c r="L65" s="18"/>
      <c r="M65" s="18"/>
      <c r="N65" s="9"/>
    </row>
  </sheetData>
  <mergeCells count="8">
    <mergeCell ref="B40:B41"/>
    <mergeCell ref="B43:B46"/>
    <mergeCell ref="A1:O1"/>
    <mergeCell ref="B3:B14"/>
    <mergeCell ref="B15:B17"/>
    <mergeCell ref="B20:B22"/>
    <mergeCell ref="B23:B31"/>
    <mergeCell ref="B33:B39"/>
  </mergeCells>
  <conditionalFormatting sqref="O41">
    <cfRule type="dataBar" priority="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{563AC52D-43C4-451A-AD5B-76615AABC113}</x14:id>
        </ext>
      </extLst>
    </cfRule>
  </conditionalFormatting>
  <conditionalFormatting sqref="O39">
    <cfRule type="dataBar" priority="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{D8672D6E-0B10-42FC-9A68-6BA20FE23C54}</x14:id>
        </ext>
      </extLst>
    </cfRule>
  </conditionalFormatting>
  <conditionalFormatting sqref="O18:O19">
    <cfRule type="dataBar" priority="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{03DC7ABD-1804-44C8-B518-B9C1E3B7B782}</x14:id>
        </ext>
      </extLst>
    </cfRule>
  </conditionalFormatting>
  <conditionalFormatting sqref="O13">
    <cfRule type="dataBar" priority="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{E979418E-1F02-4D53-806F-B483D95944D6}</x14:id>
        </ext>
      </extLst>
    </cfRule>
  </conditionalFormatting>
  <conditionalFormatting sqref="N3:N46"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{2F6B6F4F-BC31-4B63-B3A8-F7820745DC3B}</x14:id>
        </ext>
      </extLst>
    </cfRule>
  </conditionalFormatting>
  <conditionalFormatting sqref="N65">
    <cfRule type="dataBar" priority="1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{00F4DBD2-6698-4ADA-B9BF-608AE474FCE0}</x14:id>
        </ext>
      </extLst>
    </cfRule>
  </conditionalFormatting>
  <conditionalFormatting sqref="K3:K32 K34:K46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 K34:K4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L3" r:id="rId1"/>
    <hyperlink ref="L4" r:id="rId2"/>
    <hyperlink ref="L5" r:id="rId3"/>
    <hyperlink ref="L6" r:id="rId4"/>
    <hyperlink ref="L7" r:id="rId5"/>
    <hyperlink ref="L8" r:id="rId6"/>
    <hyperlink ref="L9" r:id="rId7"/>
    <hyperlink ref="L14" r:id="rId8"/>
    <hyperlink ref="L16" r:id="rId9"/>
    <hyperlink ref="L18" r:id="rId10"/>
    <hyperlink ref="L22" r:id="rId11"/>
    <hyperlink ref="L23" r:id="rId12"/>
    <hyperlink ref="L24" r:id="rId13"/>
    <hyperlink ref="L25" r:id="rId14"/>
    <hyperlink ref="L26" r:id="rId15"/>
    <hyperlink ref="L27" r:id="rId16"/>
    <hyperlink ref="L31" r:id="rId17"/>
  </hyperlinks>
  <pageMargins left="0.7" right="0.7" top="0.75" bottom="0.75" header="0.3" footer="0.3"/>
  <pageSetup orientation="portrait" r:id="rId1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3AC52D-43C4-451A-AD5B-76615AABC11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O41</xm:sqref>
        </x14:conditionalFormatting>
        <x14:conditionalFormatting xmlns:xm="http://schemas.microsoft.com/office/excel/2006/main">
          <x14:cfRule type="dataBar" id="{D8672D6E-0B10-42FC-9A68-6BA20FE23C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03DC7ABD-1804-44C8-B518-B9C1E3B7B7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O18:O19</xm:sqref>
        </x14:conditionalFormatting>
        <x14:conditionalFormatting xmlns:xm="http://schemas.microsoft.com/office/excel/2006/main">
          <x14:cfRule type="dataBar" id="{E979418E-1F02-4D53-806F-B483D95944D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F6B6F4F-BC31-4B63-B3A8-F7820745DC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N3:N46</xm:sqref>
        </x14:conditionalFormatting>
        <x14:conditionalFormatting xmlns:xm="http://schemas.microsoft.com/office/excel/2006/main">
          <x14:cfRule type="dataBar" id="{00F4DBD2-6698-4ADA-B9BF-608AE474FC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Refrence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Windows User</cp:lastModifiedBy>
  <dcterms:created xsi:type="dcterms:W3CDTF">2021-05-17T11:34:06Z</dcterms:created>
  <dcterms:modified xsi:type="dcterms:W3CDTF">2021-10-07T16:00:33Z</dcterms:modified>
</cp:coreProperties>
</file>