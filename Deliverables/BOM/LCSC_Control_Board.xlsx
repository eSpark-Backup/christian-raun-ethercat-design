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618"/>
  <workbookPr/>
  <mc:AlternateContent xmlns:mc="http://schemas.openxmlformats.org/markup-compatibility/2006">
    <mc:Choice Requires="x15">
      <x15ac:absPath xmlns:x15ac="http://schemas.microsoft.com/office/spreadsheetml/2010/11/ac" url="D:\Github\ChrisitanRaun-AnnanasMotor\Deliverables\BOM\"/>
    </mc:Choice>
  </mc:AlternateContent>
  <xr:revisionPtr revIDLastSave="0" documentId="13_ncr:1_{CC2A59F7-A1E7-401F-8044-203FC0FFB20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1" i="1" l="1"/>
  <c r="P28" i="1"/>
  <c r="M28" i="1"/>
  <c r="P27" i="1"/>
  <c r="M27" i="1"/>
  <c r="P26" i="1"/>
  <c r="M26" i="1"/>
  <c r="P25" i="1"/>
  <c r="M25" i="1"/>
  <c r="P24" i="1"/>
  <c r="M24" i="1"/>
  <c r="P23" i="1"/>
  <c r="M23" i="1"/>
  <c r="P22" i="1"/>
  <c r="M22" i="1"/>
  <c r="M21" i="1"/>
  <c r="P20" i="1"/>
  <c r="M20" i="1"/>
  <c r="P19" i="1"/>
  <c r="P18" i="1"/>
  <c r="M18" i="1"/>
  <c r="P17" i="1"/>
  <c r="M17" i="1"/>
  <c r="P16" i="1"/>
  <c r="M16" i="1"/>
  <c r="P15" i="1"/>
  <c r="M15" i="1"/>
  <c r="P14" i="1"/>
  <c r="M14" i="1"/>
  <c r="P13" i="1"/>
  <c r="M13" i="1"/>
  <c r="P12" i="1"/>
  <c r="M12" i="1"/>
  <c r="P11" i="1"/>
  <c r="M11" i="1"/>
  <c r="P10" i="1"/>
  <c r="M10" i="1"/>
  <c r="P9" i="1"/>
  <c r="M9" i="1"/>
  <c r="P8" i="1"/>
  <c r="M8" i="1"/>
  <c r="P7" i="1"/>
  <c r="M7" i="1"/>
  <c r="P6" i="1"/>
  <c r="M6" i="1"/>
  <c r="P5" i="1"/>
  <c r="M5" i="1"/>
  <c r="P4" i="1"/>
  <c r="M4" i="1"/>
  <c r="P3" i="1"/>
  <c r="M3" i="1"/>
  <c r="P29" i="1" l="1"/>
  <c r="P30" i="1" s="1"/>
</calcChain>
</file>

<file path=xl/sharedStrings.xml><?xml version="1.0" encoding="utf-8"?>
<sst xmlns="http://schemas.openxmlformats.org/spreadsheetml/2006/main" count="235" uniqueCount="170">
  <si>
    <t xml:space="preserve">Bill of Material (BOM) for Refrence Formate 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</si>
  <si>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</si>
  <si>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</si>
  <si>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</si>
  <si>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</si>
  <si>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</si>
  <si>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</si>
  <si>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</si>
  <si>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</si>
  <si>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</si>
  <si>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</si>
  <si>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</si>
  <si>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</si>
  <si>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Quantity 400</t>
  </si>
  <si>
    <t>Link</t>
  </si>
  <si>
    <t>Unit Cost(1)</t>
  </si>
  <si>
    <t>MOQ Total</t>
  </si>
  <si>
    <t>Remarks</t>
  </si>
  <si>
    <t>Quotation of orignal parts from Chinese supplier</t>
  </si>
  <si>
    <t>Capacitor</t>
  </si>
  <si>
    <t>CAP CER 1UF 100V X7S 0805</t>
  </si>
  <si>
    <t>C1, C3, C5, C26</t>
  </si>
  <si>
    <t>Cap0805</t>
  </si>
  <si>
    <t>GCM21BC72A105KE36L</t>
  </si>
  <si>
    <t xml:space="preserve">Murata </t>
  </si>
  <si>
    <t>C2842838</t>
  </si>
  <si>
    <t>------------</t>
  </si>
  <si>
    <t>1uF</t>
  </si>
  <si>
    <t>LCSC</t>
  </si>
  <si>
    <t>CAP CER 0.1UF 100V X7R 0603</t>
  </si>
  <si>
    <t xml:space="preserve">C2, C4, C6, C7, C8, C9, C10, C11, C12, C13, C14, C15, C16, C20, C21, C22, C23, C24, C25, C30, C31, C34, C35, C41
</t>
  </si>
  <si>
    <t>Cap0603</t>
  </si>
  <si>
    <t>CC0603KRX7R0BB104</t>
  </si>
  <si>
    <t>YAGEO</t>
  </si>
  <si>
    <t xml:space="preserve">C113803
</t>
  </si>
  <si>
    <t>0.1uF</t>
  </si>
  <si>
    <t>CAP CER 10UF 50V X5R 0805</t>
  </si>
  <si>
    <t>C17</t>
  </si>
  <si>
    <t>GRM21BR61H106ME43L</t>
  </si>
  <si>
    <t>C440198</t>
  </si>
  <si>
    <t>GRM21BR61H106KE43L</t>
  </si>
  <si>
    <t>10uF</t>
  </si>
  <si>
    <t>CAP CER 4.7UF 25V X5R 0603</t>
  </si>
  <si>
    <t>C18, C19, C29</t>
  </si>
  <si>
    <t>C1608X5R1E475M080AC</t>
  </si>
  <si>
    <t xml:space="preserve">TDK </t>
  </si>
  <si>
    <t>C76615</t>
  </si>
  <si>
    <t>C1608X5R1E475KT000E</t>
  </si>
  <si>
    <t>4.7uF</t>
  </si>
  <si>
    <t>CAP CER 10PF 50V C0G/NP0 0603</t>
  </si>
  <si>
    <t>C27, C28, C32, C33</t>
  </si>
  <si>
    <t>06035A100JAT2A</t>
  </si>
  <si>
    <t xml:space="preserve">KYOCERA AVX
</t>
  </si>
  <si>
    <t xml:space="preserve">C106245
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</si>
  <si>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</si>
  <si>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</si>
  <si>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</si>
  <si>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</si>
  <si>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</si>
  <si>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</si>
  <si>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</si>
  <si>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Everlight Elec</t>
  </si>
  <si>
    <t>C74338</t>
  </si>
  <si>
    <t>-----</t>
  </si>
  <si>
    <t xml:space="preserve">Inductor </t>
  </si>
  <si>
    <t>200Ω @ 100MHz 1 1A 300mΩ 0603 Ferrite Beads</t>
  </si>
  <si>
    <t>L1, L2, L3, L4, L5</t>
  </si>
  <si>
    <t>Ind 0603</t>
  </si>
  <si>
    <t>MLB1608-201P1A(f)</t>
  </si>
  <si>
    <t xml:space="preserve">Meled </t>
  </si>
  <si>
    <t>C45316</t>
  </si>
  <si>
    <t>IND SMD 10uH 500mA 0805</t>
  </si>
  <si>
    <t>L6</t>
  </si>
  <si>
    <t>Ind0805</t>
  </si>
  <si>
    <t>MGFL2012F100MT-LF</t>
  </si>
  <si>
    <t>microgate</t>
  </si>
  <si>
    <t>C281113</t>
  </si>
  <si>
    <t>Resistor</t>
  </si>
  <si>
    <t>RES SMD 10K OHM 5% 1/10W 0603</t>
  </si>
  <si>
    <t>R1, R2, R3, R4, R5, R9, R14, R15, R16, R23, R41, R42</t>
  </si>
  <si>
    <t>Res0603</t>
  </si>
  <si>
    <t>AC0603JR-0710KL</t>
  </si>
  <si>
    <t>C140867</t>
  </si>
  <si>
    <t>10K</t>
  </si>
  <si>
    <t>RES SMD 0603 33 Ohm 1% 1/10W</t>
  </si>
  <si>
    <t>R6, R11, R12</t>
  </si>
  <si>
    <t>RC0603FR-0733RL</t>
  </si>
  <si>
    <t>C108661</t>
  </si>
  <si>
    <t>33R</t>
  </si>
  <si>
    <t>RES  SMD 330R 100 mW 0603</t>
  </si>
  <si>
    <t>R7</t>
  </si>
  <si>
    <t>RC0603JR-07330RL</t>
  </si>
  <si>
    <t>C105879</t>
  </si>
  <si>
    <t>330R</t>
  </si>
  <si>
    <t>RES SMD 1K OHM 1% 1/10W 0603</t>
  </si>
  <si>
    <t>R8, R10, R40,R17</t>
  </si>
  <si>
    <t>RC0603FR-071KL</t>
  </si>
  <si>
    <t>C22548</t>
  </si>
  <si>
    <t>1K</t>
  </si>
  <si>
    <t>RES SMD 100 OHM 1% 1/10W 0603</t>
  </si>
  <si>
    <t>R18, R19</t>
  </si>
  <si>
    <t>RC0603FR-07100RL</t>
  </si>
  <si>
    <t>C105588</t>
  </si>
  <si>
    <t>100R</t>
  </si>
  <si>
    <t>RES SMD 470 OHM 1% 1/10W 0603</t>
  </si>
  <si>
    <t>R20</t>
  </si>
  <si>
    <t>RC0603FR-07470RL</t>
  </si>
  <si>
    <t>C114669</t>
  </si>
  <si>
    <t>470R</t>
  </si>
  <si>
    <t>RES SMD 12.1K OHM 1/10W 0603</t>
  </si>
  <si>
    <t>R13</t>
  </si>
  <si>
    <t>RT0603CRD0712K1L</t>
  </si>
  <si>
    <t xml:space="preserve">Stackpole </t>
  </si>
  <si>
    <t>C705893</t>
  </si>
  <si>
    <t>12.1K</t>
  </si>
  <si>
    <t>Switch</t>
  </si>
  <si>
    <t>SWITCH TACTILE SPST-NO 0.05A 12V</t>
  </si>
  <si>
    <t>SW1</t>
  </si>
  <si>
    <t>Custom</t>
  </si>
  <si>
    <t>B3U-1000P</t>
  </si>
  <si>
    <t>Omron</t>
  </si>
  <si>
    <t>Ics</t>
  </si>
  <si>
    <t>IC ETHERCAT SLAVE CONTROLLER</t>
  </si>
  <si>
    <t>U1</t>
  </si>
  <si>
    <t>LAN9255/ZMX019</t>
  </si>
  <si>
    <t>Cstom Supplier</t>
  </si>
  <si>
    <t>IC EEPROM 256KBIT I2C 1MHZ 8SOIC</t>
  </si>
  <si>
    <t>U2</t>
  </si>
  <si>
    <t>8-SOIC</t>
  </si>
  <si>
    <t>CAT24C256WI-GT3</t>
  </si>
  <si>
    <t>onsemi</t>
  </si>
  <si>
    <t>C79987</t>
  </si>
  <si>
    <t>MAGNETIC ANGLE SENSOR</t>
  </si>
  <si>
    <t>U4</t>
  </si>
  <si>
    <t>TLE5012BE5000FUMA1</t>
  </si>
  <si>
    <t xml:space="preserve">Infineon </t>
  </si>
  <si>
    <t>IC TRNSLTR BIDIRECTIONAL US8</t>
  </si>
  <si>
    <t>U3</t>
  </si>
  <si>
    <t>8-VSSOP</t>
  </si>
  <si>
    <t>TXB0102DCUT</t>
  </si>
  <si>
    <t xml:space="preserve">Texas </t>
  </si>
  <si>
    <t>C2677366</t>
  </si>
  <si>
    <t>Crystal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</si>
  <si>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</si>
  <si>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</si>
  <si>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</si>
  <si>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</si>
  <si>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</si>
  <si>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</si>
  <si>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Custom supplier</t>
  </si>
  <si>
    <t>Connector</t>
  </si>
  <si>
    <t xml:space="preserve"> 2.54mm Pin Header Male single row Right Angle SMD</t>
  </si>
  <si>
    <t>J1,J2</t>
  </si>
  <si>
    <t>HDR1X5 SMD</t>
  </si>
  <si>
    <t>PH254P1x12SMRA-100</t>
  </si>
  <si>
    <t>RTLECS</t>
  </si>
  <si>
    <t>Aliexpress</t>
  </si>
  <si>
    <t>P=2.54mm Female Headers,SMD,ROHS</t>
  </si>
  <si>
    <t>J3</t>
  </si>
  <si>
    <t>PHF254SMD-x</t>
  </si>
  <si>
    <t>Solder Bridge ON</t>
  </si>
  <si>
    <t>SB1, SB4, SB5, SB6, SB7</t>
  </si>
  <si>
    <t>Solder Bridge</t>
  </si>
  <si>
    <t>DO NOT Mount</t>
  </si>
  <si>
    <t>Test Point ON</t>
  </si>
  <si>
    <t>P1,P5,P6</t>
  </si>
  <si>
    <t>TEST POINT</t>
  </si>
  <si>
    <t xml:space="preserve">Total Component Cost </t>
  </si>
  <si>
    <t>Single Board Cost</t>
  </si>
  <si>
    <t>Awaiting Custom Supplier 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</si>
</sst>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00"/>
    <numFmt numFmtId="167" formatCode="&quot;$&quot;#,##0.00000"/>
    <numFmt numFmtId="169" formatCode="&quot;$&quot;#,##0.00"/>
    <numFmt numFmtId="170" formatCode="_-[$$-409]* #,##0.00_ ;_-[$$-409]* \-#,##0.00\ ;_-[$$-409]* &quot;-&quot;??_ ;_-@_ "/>
  </numFmts>
  <fonts count="20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</font>
    <font>
      <sz val="10"/>
      <color rgb="FF333333"/>
      <name val="Arial"/>
      <charset val="134"/>
    </font>
    <font>
      <strike/>
      <sz val="10"/>
      <color rgb="FFFF0000"/>
      <name val="Calibri"/>
      <charset val="134"/>
    </font>
    <font>
      <sz val="11"/>
      <color rgb="FFFF0000"/>
      <name val="Calibri"/>
      <charset val="134"/>
      <scheme val="minor"/>
    </font>
    <font>
      <b/>
      <sz val="9"/>
      <color rgb="FF222222"/>
      <name val="Arial"/>
      <charset val="134"/>
    </font>
    <font>
      <u/>
      <sz val="10"/>
      <color theme="10"/>
      <name val="Calibri"/>
      <charset val="134"/>
    </font>
    <font>
      <u/>
      <sz val="10"/>
      <color rgb="FF0000FF"/>
      <name val="Calibri"/>
      <scheme val="minor"/>
    </font>
    <font>
      <sz val="10"/>
      <color rgb="FF333333"/>
      <name val="Calibri"/>
      <charset val="134"/>
    </font>
    <font>
      <u/>
      <sz val="10"/>
      <color rgb="FF0000FF"/>
      <name val="Calibri"/>
    </font>
    <font>
      <sz val="1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b/>
      <strike/>
      <sz val="10"/>
      <color rgb="FFFF0000"/>
      <name val="Calibri"/>
      <charset val="134"/>
    </font>
    <font>
      <u/>
      <sz val="11"/>
      <color rgb="FF0000F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5" fillId="6" borderId="19" xfId="0" applyFont="1" applyFill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10" fillId="5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/>
    </xf>
    <xf numFmtId="0" fontId="1" fillId="3" borderId="19" xfId="0" applyFont="1" applyFill="1" applyBorder="1" applyAlignment="1">
      <alignment horizontal="center" vertical="center"/>
    </xf>
    <xf numFmtId="166" fontId="1" fillId="3" borderId="5" xfId="0" applyNumberFormat="1" applyFont="1" applyFill="1" applyBorder="1" applyAlignment="1">
      <alignment horizontal="center" vertical="center"/>
    </xf>
    <xf numFmtId="166" fontId="11" fillId="0" borderId="8" xfId="1" applyNumberFormat="1" applyFont="1" applyBorder="1" applyAlignment="1">
      <alignment horizontal="center" vertical="center"/>
    </xf>
    <xf numFmtId="166" fontId="6" fillId="0" borderId="8" xfId="0" applyNumberFormat="1" applyFont="1" applyFill="1" applyBorder="1" applyAlignment="1">
      <alignment horizontal="center" vertical="center"/>
    </xf>
    <xf numFmtId="166" fontId="4" fillId="0" borderId="8" xfId="0" applyNumberFormat="1" applyFont="1" applyFill="1" applyBorder="1" applyAlignment="1">
      <alignment horizontal="center" vertical="center"/>
    </xf>
    <xf numFmtId="166" fontId="11" fillId="0" borderId="11" xfId="1" applyNumberFormat="1" applyFont="1" applyBorder="1" applyAlignment="1">
      <alignment horizontal="center" vertical="center"/>
    </xf>
    <xf numFmtId="166" fontId="6" fillId="0" borderId="11" xfId="0" applyNumberFormat="1" applyFont="1" applyFill="1" applyBorder="1" applyAlignment="1">
      <alignment horizontal="center" vertical="center"/>
    </xf>
    <xf numFmtId="166" fontId="4" fillId="0" borderId="11" xfId="0" applyNumberFormat="1" applyFont="1" applyFill="1" applyBorder="1" applyAlignment="1">
      <alignment horizontal="center" vertical="center"/>
    </xf>
    <xf numFmtId="167" fontId="6" fillId="0" borderId="11" xfId="0" applyNumberFormat="1" applyFont="1" applyFill="1" applyBorder="1" applyAlignment="1">
      <alignment horizontal="center" vertical="center"/>
    </xf>
    <xf numFmtId="166" fontId="6" fillId="4" borderId="14" xfId="0" applyNumberFormat="1" applyFont="1" applyFill="1" applyBorder="1" applyAlignment="1">
      <alignment horizontal="center" vertical="center"/>
    </xf>
    <xf numFmtId="166" fontId="4" fillId="0" borderId="14" xfId="0" applyNumberFormat="1" applyFont="1" applyFill="1" applyBorder="1" applyAlignment="1">
      <alignment horizontal="center" vertical="center"/>
    </xf>
    <xf numFmtId="166" fontId="6" fillId="0" borderId="16" xfId="0" applyNumberFormat="1" applyFont="1" applyFill="1" applyBorder="1" applyAlignment="1">
      <alignment horizontal="center" vertical="center"/>
    </xf>
    <xf numFmtId="166" fontId="4" fillId="0" borderId="16" xfId="0" applyNumberFormat="1" applyFont="1" applyFill="1" applyBorder="1" applyAlignment="1">
      <alignment horizontal="center" vertical="center"/>
    </xf>
    <xf numFmtId="166" fontId="11" fillId="0" borderId="14" xfId="1" applyNumberFormat="1" applyFont="1" applyBorder="1" applyAlignment="1">
      <alignment horizontal="center" vertical="center"/>
    </xf>
    <xf numFmtId="166" fontId="6" fillId="0" borderId="14" xfId="0" applyNumberFormat="1" applyFont="1" applyFill="1" applyBorder="1" applyAlignment="1">
      <alignment horizontal="center" vertical="center"/>
    </xf>
    <xf numFmtId="166" fontId="6" fillId="4" borderId="11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0" fontId="4" fillId="4" borderId="21" xfId="0" applyFont="1" applyFill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6" fontId="11" fillId="4" borderId="8" xfId="1" applyNumberFormat="1" applyFont="1" applyFill="1" applyBorder="1" applyAlignment="1">
      <alignment horizontal="center" vertical="center"/>
    </xf>
    <xf numFmtId="169" fontId="4" fillId="4" borderId="8" xfId="0" applyNumberFormat="1" applyFont="1" applyFill="1" applyBorder="1" applyAlignment="1">
      <alignment horizontal="center" vertical="center"/>
    </xf>
    <xf numFmtId="166" fontId="4" fillId="4" borderId="8" xfId="0" applyNumberFormat="1" applyFont="1" applyFill="1" applyBorder="1" applyAlignment="1">
      <alignment horizontal="center" vertical="center"/>
    </xf>
    <xf numFmtId="166" fontId="11" fillId="4" borderId="11" xfId="1" applyNumberFormat="1" applyFont="1" applyFill="1" applyBorder="1" applyAlignment="1">
      <alignment horizontal="center" vertical="center"/>
    </xf>
    <xf numFmtId="166" fontId="4" fillId="4" borderId="11" xfId="0" applyNumberFormat="1" applyFont="1" applyFill="1" applyBorder="1" applyAlignment="1">
      <alignment horizontal="center" vertical="center"/>
    </xf>
    <xf numFmtId="169" fontId="13" fillId="4" borderId="11" xfId="0" applyNumberFormat="1" applyFont="1" applyFill="1" applyBorder="1" applyAlignment="1">
      <alignment horizontal="center" vertical="center"/>
    </xf>
    <xf numFmtId="166" fontId="4" fillId="4" borderId="14" xfId="0" applyNumberFormat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1" fillId="6" borderId="8" xfId="1" applyFont="1" applyFill="1" applyBorder="1" applyAlignment="1">
      <alignment horizontal="center" vertical="center"/>
    </xf>
    <xf numFmtId="166" fontId="6" fillId="6" borderId="8" xfId="0" applyNumberFormat="1" applyFont="1" applyFill="1" applyBorder="1" applyAlignment="1">
      <alignment horizontal="center" vertical="center"/>
    </xf>
    <xf numFmtId="166" fontId="4" fillId="6" borderId="8" xfId="0" applyNumberFormat="1" applyFont="1" applyFill="1" applyBorder="1" applyAlignment="1">
      <alignment horizontal="center" vertical="center"/>
    </xf>
    <xf numFmtId="169" fontId="4" fillId="4" borderId="14" xfId="0" applyNumberFormat="1" applyFont="1" applyFill="1" applyBorder="1" applyAlignment="1">
      <alignment horizontal="center" vertical="center"/>
    </xf>
    <xf numFmtId="166" fontId="6" fillId="4" borderId="8" xfId="0" applyNumberFormat="1" applyFont="1" applyFill="1" applyBorder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166" fontId="8" fillId="7" borderId="11" xfId="0" applyNumberFormat="1" applyFont="1" applyFill="1" applyBorder="1" applyAlignment="1">
      <alignment horizontal="center" vertical="center"/>
    </xf>
    <xf numFmtId="166" fontId="4" fillId="7" borderId="11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166" fontId="8" fillId="7" borderId="14" xfId="0" applyNumberFormat="1" applyFont="1" applyFill="1" applyBorder="1" applyAlignment="1">
      <alignment horizontal="center" vertical="center"/>
    </xf>
    <xf numFmtId="166" fontId="4" fillId="7" borderId="14" xfId="0" applyNumberFormat="1" applyFont="1" applyFill="1" applyBorder="1" applyAlignment="1">
      <alignment horizontal="center" vertical="center"/>
    </xf>
    <xf numFmtId="169" fontId="4" fillId="0" borderId="22" xfId="0" applyNumberFormat="1" applyFont="1" applyFill="1" applyBorder="1" applyAlignment="1">
      <alignment horizontal="center" vertical="center"/>
    </xf>
    <xf numFmtId="169" fontId="4" fillId="0" borderId="24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169" fontId="4" fillId="0" borderId="25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169" fontId="4" fillId="0" borderId="26" xfId="0" applyNumberFormat="1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169" fontId="4" fillId="0" borderId="27" xfId="0" applyNumberFormat="1" applyFont="1" applyFill="1" applyBorder="1" applyAlignment="1">
      <alignment horizontal="center" vertical="center"/>
    </xf>
    <xf numFmtId="169" fontId="4" fillId="0" borderId="28" xfId="0" applyNumberFormat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169" fontId="4" fillId="0" borderId="29" xfId="0" applyNumberFormat="1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169" fontId="4" fillId="6" borderId="25" xfId="0" applyNumberFormat="1" applyFont="1" applyFill="1" applyBorder="1" applyAlignment="1">
      <alignment horizontal="center" vertical="center"/>
    </xf>
    <xf numFmtId="170" fontId="18" fillId="4" borderId="14" xfId="0" applyNumberFormat="1" applyFont="1" applyFill="1" applyBorder="1" applyAlignment="1">
      <alignment horizontal="center" vertical="center"/>
    </xf>
    <xf numFmtId="170" fontId="18" fillId="7" borderId="11" xfId="0" applyNumberFormat="1" applyFont="1" applyFill="1" applyBorder="1" applyAlignment="1">
      <alignment horizontal="center" vertical="center"/>
    </xf>
    <xf numFmtId="169" fontId="4" fillId="7" borderId="26" xfId="0" applyNumberFormat="1" applyFont="1" applyFill="1" applyBorder="1" applyAlignment="1">
      <alignment horizontal="center" vertical="center"/>
    </xf>
    <xf numFmtId="170" fontId="18" fillId="7" borderId="14" xfId="0" applyNumberFormat="1" applyFont="1" applyFill="1" applyBorder="1" applyAlignment="1">
      <alignment horizontal="center" vertical="center"/>
    </xf>
    <xf numFmtId="169" fontId="4" fillId="7" borderId="27" xfId="0" applyNumberFormat="1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vertical="center"/>
    </xf>
    <xf numFmtId="0" fontId="4" fillId="0" borderId="7" xfId="0" quotePrefix="1" applyFont="1" applyFill="1" applyBorder="1" applyAlignment="1">
      <alignment horizontal="left" vertical="center"/>
    </xf>
    <xf numFmtId="0" fontId="5" fillId="0" borderId="8" xfId="0" quotePrefix="1" applyFont="1" applyFill="1" applyBorder="1" applyAlignment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6" fillId="0" borderId="8" xfId="0" quotePrefix="1" applyFont="1" applyFill="1" applyBorder="1" applyAlignment="1">
      <alignment horizontal="center" vertical="center"/>
    </xf>
    <xf numFmtId="0" fontId="6" fillId="4" borderId="8" xfId="0" quotePrefix="1" applyFont="1" applyFill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left" vertical="center"/>
    </xf>
    <xf numFmtId="0" fontId="4" fillId="0" borderId="11" xfId="0" quotePrefix="1" applyFont="1" applyFill="1" applyBorder="1" applyAlignment="1">
      <alignment horizontal="center" vertical="center"/>
    </xf>
    <xf numFmtId="0" fontId="6" fillId="0" borderId="11" xfId="0" quotePrefix="1" applyFont="1" applyFill="1" applyBorder="1" applyAlignment="1">
      <alignment horizontal="center" vertical="center"/>
    </xf>
    <xf numFmtId="0" fontId="6" fillId="4" borderId="11" xfId="0" quotePrefix="1" applyFont="1" applyFill="1" applyBorder="1" applyAlignment="1">
      <alignment horizontal="center" vertical="center"/>
    </xf>
    <xf numFmtId="0" fontId="5" fillId="0" borderId="11" xfId="0" quotePrefix="1" applyFont="1" applyFill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/>
    </xf>
    <xf numFmtId="0" fontId="11" fillId="0" borderId="11" xfId="1" quotePrefix="1" applyFont="1" applyBorder="1" applyAlignment="1">
      <alignment horizontal="center" vertical="center"/>
    </xf>
    <xf numFmtId="0" fontId="4" fillId="0" borderId="13" xfId="0" quotePrefix="1" applyFont="1" applyFill="1" applyBorder="1" applyAlignment="1">
      <alignment horizontal="left" vertical="center"/>
    </xf>
    <xf numFmtId="0" fontId="5" fillId="0" borderId="14" xfId="0" quotePrefix="1" applyFont="1" applyFill="1" applyBorder="1" applyAlignment="1">
      <alignment horizontal="center" vertical="center"/>
    </xf>
    <xf numFmtId="0" fontId="4" fillId="0" borderId="14" xfId="0" quotePrefix="1" applyFont="1" applyFill="1" applyBorder="1" applyAlignment="1">
      <alignment horizontal="center" vertical="center"/>
    </xf>
    <xf numFmtId="0" fontId="6" fillId="0" borderId="14" xfId="0" quotePrefix="1" applyFont="1" applyFill="1" applyBorder="1" applyAlignment="1">
      <alignment horizontal="center" vertical="center"/>
    </xf>
    <xf numFmtId="0" fontId="4" fillId="4" borderId="14" xfId="0" quotePrefix="1" applyFont="1" applyFill="1" applyBorder="1" applyAlignment="1">
      <alignment horizontal="center" vertical="center"/>
    </xf>
    <xf numFmtId="0" fontId="11" fillId="0" borderId="14" xfId="1" quotePrefix="1" applyFont="1" applyBorder="1" applyAlignment="1">
      <alignment horizontal="center" vertical="center"/>
    </xf>
    <xf numFmtId="0" fontId="4" fillId="0" borderId="15" xfId="0" quotePrefix="1" applyFont="1" applyFill="1" applyBorder="1" applyAlignment="1">
      <alignment horizontal="left" vertical="center"/>
    </xf>
    <xf numFmtId="0" fontId="5" fillId="0" borderId="16" xfId="0" quotePrefix="1" applyFont="1" applyFill="1" applyBorder="1" applyAlignment="1">
      <alignment horizontal="center" vertical="center"/>
    </xf>
    <xf numFmtId="0" fontId="4" fillId="0" borderId="16" xfId="0" quotePrefix="1" applyFont="1" applyFill="1" applyBorder="1" applyAlignment="1">
      <alignment horizontal="center" vertical="center"/>
    </xf>
    <xf numFmtId="0" fontId="6" fillId="0" borderId="16" xfId="0" quotePrefix="1" applyFont="1" applyFill="1" applyBorder="1" applyAlignment="1">
      <alignment horizontal="center" vertical="center"/>
    </xf>
    <xf numFmtId="0" fontId="4" fillId="4" borderId="16" xfId="0" quotePrefix="1" applyFont="1" applyFill="1" applyBorder="1" applyAlignment="1">
      <alignment horizontal="center" vertical="center"/>
    </xf>
    <xf numFmtId="0" fontId="11" fillId="0" borderId="16" xfId="1" quotePrefix="1" applyFont="1" applyBorder="1" applyAlignment="1">
      <alignment horizontal="center" vertical="center"/>
    </xf>
    <xf numFmtId="0" fontId="4" fillId="4" borderId="8" xfId="0" quotePrefix="1" applyFont="1" applyFill="1" applyBorder="1" applyAlignment="1">
      <alignment horizontal="center" vertical="center"/>
    </xf>
    <xf numFmtId="0" fontId="11" fillId="0" borderId="8" xfId="1" quotePrefix="1" applyFont="1" applyBorder="1" applyAlignment="1">
      <alignment horizontal="center" vertical="center"/>
    </xf>
    <xf numFmtId="0" fontId="11" fillId="4" borderId="11" xfId="1" quotePrefix="1" applyFont="1" applyFill="1" applyBorder="1" applyAlignment="1">
      <alignment horizontal="center" vertical="center"/>
    </xf>
    <xf numFmtId="0" fontId="4" fillId="4" borderId="15" xfId="0" quotePrefix="1" applyFont="1" applyFill="1" applyBorder="1" applyAlignment="1">
      <alignment horizontal="left" vertical="center"/>
    </xf>
    <xf numFmtId="0" fontId="5" fillId="4" borderId="16" xfId="0" quotePrefix="1" applyFont="1" applyFill="1" applyBorder="1" applyAlignment="1">
      <alignment horizontal="center" vertical="center"/>
    </xf>
    <xf numFmtId="0" fontId="6" fillId="4" borderId="16" xfId="0" quotePrefix="1" applyFont="1" applyFill="1" applyBorder="1" applyAlignment="1">
      <alignment horizontal="center" vertical="center"/>
    </xf>
    <xf numFmtId="0" fontId="4" fillId="4" borderId="7" xfId="0" quotePrefix="1" applyFont="1" applyFill="1" applyBorder="1" applyAlignment="1">
      <alignment horizontal="left" vertical="center"/>
    </xf>
    <xf numFmtId="0" fontId="5" fillId="4" borderId="8" xfId="0" quotePrefix="1" applyFont="1" applyFill="1" applyBorder="1" applyAlignment="1">
      <alignment horizontal="center" vertical="center"/>
    </xf>
    <xf numFmtId="0" fontId="4" fillId="4" borderId="10" xfId="0" quotePrefix="1" applyFont="1" applyFill="1" applyBorder="1" applyAlignment="1">
      <alignment horizontal="left" vertical="center"/>
    </xf>
    <xf numFmtId="0" fontId="5" fillId="4" borderId="11" xfId="0" quotePrefix="1" applyFont="1" applyFill="1" applyBorder="1" applyAlignment="1">
      <alignment horizontal="center" vertical="center"/>
    </xf>
    <xf numFmtId="0" fontId="6" fillId="4" borderId="14" xfId="0" quotePrefix="1" applyFont="1" applyFill="1" applyBorder="1" applyAlignment="1">
      <alignment horizontal="center" vertical="center"/>
    </xf>
    <xf numFmtId="0" fontId="4" fillId="6" borderId="7" xfId="0" quotePrefix="1" applyFont="1" applyFill="1" applyBorder="1" applyAlignment="1">
      <alignment horizontal="left" vertical="center"/>
    </xf>
    <xf numFmtId="0" fontId="5" fillId="6" borderId="8" xfId="0" quotePrefix="1" applyFont="1" applyFill="1" applyBorder="1" applyAlignment="1">
      <alignment horizontal="center" vertical="center"/>
    </xf>
    <xf numFmtId="0" fontId="4" fillId="6" borderId="8" xfId="0" quotePrefix="1" applyFont="1" applyFill="1" applyBorder="1" applyAlignment="1">
      <alignment horizontal="center" vertical="center"/>
    </xf>
    <xf numFmtId="0" fontId="4" fillId="4" borderId="13" xfId="0" quotePrefix="1" applyFont="1" applyFill="1" applyBorder="1" applyAlignment="1">
      <alignment horizontal="left" vertical="center"/>
    </xf>
    <xf numFmtId="0" fontId="5" fillId="4" borderId="14" xfId="0" quotePrefix="1" applyFont="1" applyFill="1" applyBorder="1" applyAlignment="1">
      <alignment horizontal="center" vertical="center"/>
    </xf>
    <xf numFmtId="0" fontId="11" fillId="4" borderId="14" xfId="1" quotePrefix="1" applyFont="1" applyFill="1" applyBorder="1" applyAlignment="1">
      <alignment horizontal="center" vertical="center"/>
    </xf>
    <xf numFmtId="0" fontId="8" fillId="7" borderId="10" xfId="0" quotePrefix="1" applyFont="1" applyFill="1" applyBorder="1" applyAlignment="1">
      <alignment horizontal="left" vertical="center"/>
    </xf>
    <xf numFmtId="0" fontId="8" fillId="7" borderId="11" xfId="0" quotePrefix="1" applyFont="1" applyFill="1" applyBorder="1" applyAlignment="1">
      <alignment horizontal="center" vertical="center"/>
    </xf>
    <xf numFmtId="0" fontId="8" fillId="7" borderId="13" xfId="0" quotePrefix="1" applyFont="1" applyFill="1" applyBorder="1" applyAlignment="1">
      <alignment horizontal="left" vertical="center"/>
    </xf>
    <xf numFmtId="0" fontId="8" fillId="7" borderId="14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19" fillId="4" borderId="8" xfId="1" applyFill="1" applyBorder="1" applyAlignment="1">
      <alignment horizontal="center" vertical="center"/>
    </xf>
    <xf numFmtId="0" fontId="19" fillId="4" borderId="11" xfId="1" quotePrefix="1" applyFill="1" applyBorder="1" applyAlignment="1">
      <alignment horizontal="center" vertical="center"/>
    </xf>
    <xf numFmtId="0" fontId="19" fillId="4" borderId="14" xfId="1" applyFill="1" applyBorder="1" applyAlignment="1">
      <alignment horizontal="center" vertical="center"/>
    </xf>
    <xf numFmtId="166" fontId="19" fillId="0" borderId="16" xfId="1" applyNumberForma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JR-07330RL_C105879.html" TargetMode="External"/><Relationship Id="rId13" Type="http://schemas.openxmlformats.org/officeDocument/2006/relationships/hyperlink" Target="https://www.lcsc.com/product-detail/EEPROM_onsemi-CAT24C256WI-GT3_C79987.html" TargetMode="External"/><Relationship Id="rId18" Type="http://schemas.openxmlformats.org/officeDocument/2006/relationships/hyperlink" Target="https://tr.aliexpress.com/item/32814431059.html" TargetMode="External"/><Relationship Id="rId3" Type="http://schemas.openxmlformats.org/officeDocument/2006/relationships/hyperlink" Target="https://www.lcsc.com/product-detail/Multilayer-Ceramic-Capacitors-MLCC-SMD-SMT_Murata-Electronics-GRM21BR61H106KE43L_C440198.html" TargetMode="External"/><Relationship Id="rId21" Type="http://schemas.openxmlformats.org/officeDocument/2006/relationships/hyperlink" Target="https://lcsc.com/product-detail/Chip-Resistor-Surface-Mount_YAGEO-RC0603FR-07470RL_C114669.html" TargetMode="External"/><Relationship Id="rId7" Type="http://schemas.openxmlformats.org/officeDocument/2006/relationships/hyperlink" Target="https://www.lcsc.com/product-detail/Chip-Resistor-Surface-Mount_YAGEO-AC0603JR-0710KL_C140867.html" TargetMode="External"/><Relationship Id="rId12" Type="http://schemas.openxmlformats.org/officeDocument/2006/relationships/hyperlink" Target="https://www.lcsc.com/product-detail/span-style-background-color-ff0-Tactile-span-Switches_G-span-style-background-color-ff0-Switch-span-GT-TC026B-H015-L1_C778162.html" TargetMode="External"/><Relationship Id="rId17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Relationship Id="rId2" Type="http://schemas.openxmlformats.org/officeDocument/2006/relationships/hyperlink" Target="https://www.lcsc.com/product-detail/Multilayer-Ceramic-Capacitors-MLCC-SMD-SMT_YAGEO-CC0603KRX7R0BB104_C113803.html" TargetMode="External"/><Relationship Id="rId16" Type="http://schemas.openxmlformats.org/officeDocument/2006/relationships/hyperlink" Target="https://www.aliexpress.com/item/33051187576.html?spm=a2g0o.productlist.0.0.4f684477Oj2GOj&amp;algo_pvid=5b48aa7c-c07c-4917-9349-3704e8d05a03&amp;algo_exp_id=5b48aa7c-c07c-4917-9349-3704e8d05a03-5&amp;pdp_ext_f=%7B%22sku_id%22%3A%2267477268699%22%7D" TargetMode="External"/><Relationship Id="rId20" Type="http://schemas.openxmlformats.org/officeDocument/2006/relationships/hyperlink" Target="https://lcsc.com/product-detail/Chip-Resistor-Surface-Mount_YAGEO-RC0603FR-07100RL_C105588.html" TargetMode="External"/><Relationship Id="rId1" Type="http://schemas.openxmlformats.org/officeDocument/2006/relationships/hyperlink" Target="https://www.lcsc.com/product-detail/old-batch_Murata-Electronics-GCM21BC72A105KE36L_C2842838.html" TargetMode="External"/><Relationship Id="rId6" Type="http://schemas.openxmlformats.org/officeDocument/2006/relationships/hyperlink" Target="https://www.lcsc.com/product-detail/Inductors-SMD_microgate-MGFL2012F100MT-LF_C281113.html" TargetMode="External"/><Relationship Id="rId11" Type="http://schemas.openxmlformats.org/officeDocument/2006/relationships/hyperlink" Target="https://www.lcsc.com/product-detail/Chip-Resistor-Surface-Mount_YAGEO-RT0603CRD0712K1L_C705893.html" TargetMode="External"/><Relationship Id="rId5" Type="http://schemas.openxmlformats.org/officeDocument/2006/relationships/hyperlink" Target="https://www.lcsc.com/product-detail/Ferrite-Beads_Meled-MLB1608-201P1A-f_C45316.html" TargetMode="External"/><Relationship Id="rId15" Type="http://schemas.openxmlformats.org/officeDocument/2006/relationships/hyperlink" Target="https://www.lcsc.com/product-detail/Multilayer-Ceramic-Capacitors-MLCC-SMD-SMT_YAGEO-CC0603JRNPO9BN100_C106245.html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www.aliexpress.com/item/4000809540773.html?spm=a2g0o.productlist.0.0.6de246c1bZT6MX&amp;algo_pvid=8f5ac8e0-d326-4065-a967-4d43ba16ccd8&amp;algo_exp_id=8f5ac8e0-d326-4065-a967-4d43ba16ccd8-5&amp;pdp_ext_f=%7B%22sku_id%22%3A%2210000008107183129%22%7D" TargetMode="External"/><Relationship Id="rId4" Type="http://schemas.openxmlformats.org/officeDocument/2006/relationships/hyperlink" Target="https://www.lcsc.com/product-detail/Light-Emitting-Diodes-LED_Everlight-Elec-16-213-GHC-YR1S1-3T_C74338.html" TargetMode="External"/><Relationship Id="rId9" Type="http://schemas.openxmlformats.org/officeDocument/2006/relationships/hyperlink" Target="https://www.lcsc.com/product-detail/Chip-Resistor-Surface-Mount_YAGEO-RC0603FR-0733RL_C108661.html" TargetMode="External"/><Relationship Id="rId14" Type="http://schemas.openxmlformats.org/officeDocument/2006/relationships/hyperlink" Target="https://www.lcsc.com/product-detail/Multilayer-Ceramic-Capacitors-MLCC-SMD-SMT_TDK-C1608X5R1E475KT000E_C766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tabSelected="1" topLeftCell="G1" workbookViewId="0">
      <selection activeCell="P29" sqref="P29"/>
    </sheetView>
  </sheetViews>
  <sheetFormatPr defaultColWidth="9" defaultRowHeight="14.4"/>
  <cols>
    <col min="1" max="1" width="6.109375" style="2" customWidth="1"/>
    <col min="2" max="2" width="14.44140625" style="1" customWidth="1"/>
    <col min="3" max="3" width="47.5546875" style="1" customWidth="1"/>
    <col min="4" max="4" width="33.109375" style="1" customWidth="1"/>
    <col min="5" max="5" width="21" style="1" customWidth="1"/>
    <col min="6" max="6" width="34.109375" style="1" bestFit="1" customWidth="1"/>
    <col min="7" max="7" width="19.109375" style="1" customWidth="1"/>
    <col min="8" max="8" width="14.44140625" style="2" customWidth="1"/>
    <col min="9" max="9" width="21.5546875" style="1" customWidth="1"/>
    <col min="10" max="10" width="7" style="1" customWidth="1"/>
    <col min="11" max="11" width="11.5546875" style="1" customWidth="1"/>
    <col min="12" max="12" width="21.88671875" style="1" customWidth="1"/>
    <col min="13" max="13" width="14.109375" style="1" customWidth="1"/>
    <col min="14" max="14" width="13.77734375" style="1" bestFit="1" customWidth="1"/>
    <col min="15" max="15" width="12.6640625" style="1" customWidth="1"/>
    <col min="16" max="16" width="13.44140625" style="1" customWidth="1"/>
    <col min="17" max="17" width="14.109375" style="1" customWidth="1"/>
    <col min="18" max="18" width="29.88671875" style="1" bestFit="1" customWidth="1"/>
    <col min="19" max="16384" width="9" style="1"/>
  </cols>
  <sheetData>
    <row r="1" spans="1:34" ht="15.6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100"/>
    </row>
    <row r="2" spans="1:34" ht="31.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0" t="s">
        <v>14</v>
      </c>
      <c r="O2" s="41" t="s">
        <v>15</v>
      </c>
      <c r="P2" s="5" t="s">
        <v>16</v>
      </c>
      <c r="Q2" s="5" t="s">
        <v>17</v>
      </c>
      <c r="R2" s="83" t="s">
        <v>18</v>
      </c>
    </row>
    <row r="3" spans="1:34">
      <c r="A3" s="6">
        <v>1</v>
      </c>
      <c r="B3" s="151" t="s">
        <v>19</v>
      </c>
      <c r="C3" s="101" t="s">
        <v>20</v>
      </c>
      <c r="D3" s="102" t="s">
        <v>21</v>
      </c>
      <c r="E3" s="103" t="s">
        <v>22</v>
      </c>
      <c r="F3" s="103" t="s">
        <v>23</v>
      </c>
      <c r="G3" s="104" t="s">
        <v>24</v>
      </c>
      <c r="H3" s="9" t="s">
        <v>25</v>
      </c>
      <c r="I3" s="105" t="s">
        <v>26</v>
      </c>
      <c r="J3" s="103" t="s">
        <v>27</v>
      </c>
      <c r="K3" s="7">
        <v>1620</v>
      </c>
      <c r="L3" s="7">
        <v>4</v>
      </c>
      <c r="M3" s="7">
        <f t="shared" ref="M3:M18" si="0">L3*400</f>
        <v>1600</v>
      </c>
      <c r="N3" s="42" t="s">
        <v>28</v>
      </c>
      <c r="O3" s="43">
        <v>6.8199999999999997E-2</v>
      </c>
      <c r="P3" s="44">
        <f t="shared" ref="P3:P16" si="1">O3*K3</f>
        <v>110.48399999999999</v>
      </c>
      <c r="Q3" s="7"/>
      <c r="R3" s="84"/>
      <c r="S3" s="85"/>
    </row>
    <row r="4" spans="1:34" ht="55.2">
      <c r="A4" s="6">
        <v>2</v>
      </c>
      <c r="B4" s="152"/>
      <c r="C4" s="106" t="s">
        <v>29</v>
      </c>
      <c r="D4" s="10" t="s">
        <v>30</v>
      </c>
      <c r="E4" s="107" t="s">
        <v>31</v>
      </c>
      <c r="F4" s="107" t="s">
        <v>32</v>
      </c>
      <c r="G4" s="108" t="s">
        <v>33</v>
      </c>
      <c r="H4" s="12" t="s">
        <v>34</v>
      </c>
      <c r="I4" s="109" t="s">
        <v>26</v>
      </c>
      <c r="J4" s="107" t="s">
        <v>35</v>
      </c>
      <c r="K4" s="11">
        <v>8850</v>
      </c>
      <c r="L4" s="11">
        <v>24</v>
      </c>
      <c r="M4" s="11">
        <f t="shared" si="0"/>
        <v>9600</v>
      </c>
      <c r="N4" s="45" t="s">
        <v>28</v>
      </c>
      <c r="O4" s="46">
        <v>4.7000000000000002E-3</v>
      </c>
      <c r="P4" s="47">
        <f t="shared" si="1"/>
        <v>41.594999999999999</v>
      </c>
      <c r="Q4" s="11"/>
      <c r="R4" s="86"/>
      <c r="S4" s="85"/>
    </row>
    <row r="5" spans="1:34">
      <c r="A5" s="6">
        <v>3</v>
      </c>
      <c r="B5" s="152"/>
      <c r="C5" s="106" t="s">
        <v>36</v>
      </c>
      <c r="D5" s="110" t="s">
        <v>37</v>
      </c>
      <c r="E5" s="107" t="s">
        <v>22</v>
      </c>
      <c r="F5" s="107" t="s">
        <v>38</v>
      </c>
      <c r="G5" s="108" t="s">
        <v>24</v>
      </c>
      <c r="H5" s="12" t="s">
        <v>39</v>
      </c>
      <c r="I5" s="111" t="s">
        <v>40</v>
      </c>
      <c r="J5" s="107" t="s">
        <v>41</v>
      </c>
      <c r="K5" s="11">
        <v>420</v>
      </c>
      <c r="L5" s="11">
        <v>1</v>
      </c>
      <c r="M5" s="11">
        <f t="shared" si="0"/>
        <v>400</v>
      </c>
      <c r="N5" s="45" t="s">
        <v>28</v>
      </c>
      <c r="O5" s="46">
        <v>8.6999999999999994E-2</v>
      </c>
      <c r="P5" s="47">
        <f t="shared" si="1"/>
        <v>36.54</v>
      </c>
      <c r="Q5" s="11"/>
      <c r="R5" s="86"/>
      <c r="S5" s="85"/>
    </row>
    <row r="6" spans="1:34">
      <c r="A6" s="6">
        <v>4</v>
      </c>
      <c r="B6" s="152"/>
      <c r="C6" s="106" t="s">
        <v>42</v>
      </c>
      <c r="D6" s="110" t="s">
        <v>43</v>
      </c>
      <c r="E6" s="107" t="s">
        <v>31</v>
      </c>
      <c r="F6" s="107" t="s">
        <v>44</v>
      </c>
      <c r="G6" s="108" t="s">
        <v>45</v>
      </c>
      <c r="H6" s="12" t="s">
        <v>46</v>
      </c>
      <c r="I6" s="111" t="s">
        <v>47</v>
      </c>
      <c r="J6" s="107" t="s">
        <v>48</v>
      </c>
      <c r="K6" s="11">
        <v>1220</v>
      </c>
      <c r="L6" s="11">
        <v>3</v>
      </c>
      <c r="M6" s="11">
        <f t="shared" si="0"/>
        <v>1200</v>
      </c>
      <c r="N6" s="112" t="s">
        <v>28</v>
      </c>
      <c r="O6" s="48">
        <v>2.3099999999999999E-2</v>
      </c>
      <c r="P6" s="47">
        <f t="shared" si="1"/>
        <v>28.181999999999999</v>
      </c>
      <c r="Q6" s="11"/>
      <c r="R6" s="86"/>
      <c r="S6" s="85"/>
    </row>
    <row r="7" spans="1:34" ht="15" thickBot="1">
      <c r="A7" s="6">
        <v>5</v>
      </c>
      <c r="B7" s="153"/>
      <c r="C7" s="113" t="s">
        <v>49</v>
      </c>
      <c r="D7" s="114" t="s">
        <v>50</v>
      </c>
      <c r="E7" s="115" t="s">
        <v>31</v>
      </c>
      <c r="F7" s="115" t="s">
        <v>51</v>
      </c>
      <c r="G7" s="116" t="s">
        <v>52</v>
      </c>
      <c r="H7" s="15" t="s">
        <v>53</v>
      </c>
      <c r="I7" s="117" t="s">
        <v>54</v>
      </c>
      <c r="J7" s="115" t="s">
        <v>55</v>
      </c>
      <c r="K7" s="13">
        <v>1650</v>
      </c>
      <c r="L7" s="13">
        <v>4</v>
      </c>
      <c r="M7" s="13">
        <f t="shared" si="0"/>
        <v>1600</v>
      </c>
      <c r="N7" s="118" t="s">
        <v>28</v>
      </c>
      <c r="O7" s="49">
        <v>2.3999999999999998E-3</v>
      </c>
      <c r="P7" s="50">
        <f t="shared" si="1"/>
        <v>3.9599999999999995</v>
      </c>
      <c r="Q7" s="87"/>
      <c r="R7" s="88"/>
      <c r="S7" s="85"/>
    </row>
    <row r="8" spans="1:34" ht="15" thickBot="1">
      <c r="A8" s="6">
        <v>6</v>
      </c>
      <c r="B8" s="16" t="s">
        <v>56</v>
      </c>
      <c r="C8" s="119" t="s">
        <v>57</v>
      </c>
      <c r="D8" s="120" t="s">
        <v>58</v>
      </c>
      <c r="E8" s="121" t="s">
        <v>59</v>
      </c>
      <c r="F8" s="121" t="s">
        <v>60</v>
      </c>
      <c r="G8" s="122" t="s">
        <v>61</v>
      </c>
      <c r="H8" s="19" t="s">
        <v>62</v>
      </c>
      <c r="I8" s="123" t="s">
        <v>26</v>
      </c>
      <c r="J8" s="122" t="s">
        <v>63</v>
      </c>
      <c r="K8" s="18">
        <v>1220</v>
      </c>
      <c r="L8" s="17">
        <v>3</v>
      </c>
      <c r="M8" s="17">
        <f t="shared" si="0"/>
        <v>1200</v>
      </c>
      <c r="N8" s="124" t="s">
        <v>28</v>
      </c>
      <c r="O8" s="51">
        <v>4.4999999999999998E-2</v>
      </c>
      <c r="P8" s="52">
        <f t="shared" si="1"/>
        <v>54.9</v>
      </c>
      <c r="Q8" s="17"/>
      <c r="R8" s="89"/>
      <c r="S8" s="85"/>
    </row>
    <row r="9" spans="1:34" ht="15" thickBot="1">
      <c r="A9" s="6">
        <v>7</v>
      </c>
      <c r="B9" s="151" t="s">
        <v>64</v>
      </c>
      <c r="C9" s="101" t="s">
        <v>65</v>
      </c>
      <c r="D9" s="102" t="s">
        <v>66</v>
      </c>
      <c r="E9" s="103" t="s">
        <v>67</v>
      </c>
      <c r="F9" s="103" t="s">
        <v>68</v>
      </c>
      <c r="G9" s="104" t="s">
        <v>69</v>
      </c>
      <c r="H9" s="9" t="s">
        <v>70</v>
      </c>
      <c r="I9" s="125" t="s">
        <v>26</v>
      </c>
      <c r="J9" s="104" t="s">
        <v>63</v>
      </c>
      <c r="K9" s="8">
        <v>2100</v>
      </c>
      <c r="L9" s="7">
        <v>5</v>
      </c>
      <c r="M9" s="7">
        <f t="shared" si="0"/>
        <v>2000</v>
      </c>
      <c r="N9" s="42" t="s">
        <v>28</v>
      </c>
      <c r="O9" s="43">
        <v>5.1999999999999998E-3</v>
      </c>
      <c r="P9" s="44">
        <f t="shared" si="1"/>
        <v>10.92</v>
      </c>
      <c r="Q9" s="7"/>
      <c r="R9" s="84"/>
      <c r="S9" s="85"/>
    </row>
    <row r="10" spans="1:34">
      <c r="A10" s="6">
        <v>8</v>
      </c>
      <c r="B10" s="153"/>
      <c r="C10" s="113" t="s">
        <v>71</v>
      </c>
      <c r="D10" s="114" t="s">
        <v>72</v>
      </c>
      <c r="E10" s="115" t="s">
        <v>73</v>
      </c>
      <c r="F10" s="115" t="s">
        <v>74</v>
      </c>
      <c r="G10" s="116" t="s">
        <v>75</v>
      </c>
      <c r="H10" s="15" t="s">
        <v>76</v>
      </c>
      <c r="I10" s="117" t="s">
        <v>26</v>
      </c>
      <c r="J10" s="116" t="s">
        <v>63</v>
      </c>
      <c r="K10" s="14">
        <v>420</v>
      </c>
      <c r="L10" s="13">
        <v>1</v>
      </c>
      <c r="M10" s="13">
        <f t="shared" si="0"/>
        <v>400</v>
      </c>
      <c r="N10" s="53" t="s">
        <v>28</v>
      </c>
      <c r="O10" s="54">
        <v>3.7900000000000003E-2</v>
      </c>
      <c r="P10" s="50">
        <f t="shared" si="1"/>
        <v>15.918000000000001</v>
      </c>
      <c r="Q10" s="13"/>
      <c r="R10" s="88"/>
      <c r="S10" s="85"/>
    </row>
    <row r="11" spans="1:34" ht="27.6">
      <c r="A11" s="6">
        <v>9</v>
      </c>
      <c r="B11" s="151" t="s">
        <v>77</v>
      </c>
      <c r="C11" s="101" t="s">
        <v>78</v>
      </c>
      <c r="D11" s="20" t="s">
        <v>79</v>
      </c>
      <c r="E11" s="103" t="s">
        <v>80</v>
      </c>
      <c r="F11" s="103" t="s">
        <v>81</v>
      </c>
      <c r="G11" s="104" t="s">
        <v>33</v>
      </c>
      <c r="H11" s="9" t="s">
        <v>82</v>
      </c>
      <c r="I11" s="125" t="s">
        <v>26</v>
      </c>
      <c r="J11" s="103" t="s">
        <v>83</v>
      </c>
      <c r="K11" s="24">
        <v>4900</v>
      </c>
      <c r="L11" s="7">
        <v>12</v>
      </c>
      <c r="M11" s="7">
        <f t="shared" si="0"/>
        <v>4800</v>
      </c>
      <c r="N11" s="126" t="s">
        <v>28</v>
      </c>
      <c r="O11" s="43">
        <v>1.1000000000000001E-3</v>
      </c>
      <c r="P11" s="44">
        <f t="shared" si="1"/>
        <v>5.3900000000000006</v>
      </c>
      <c r="Q11" s="7"/>
      <c r="R11" s="84"/>
      <c r="S11" s="85"/>
    </row>
    <row r="12" spans="1:34">
      <c r="A12" s="6">
        <v>10</v>
      </c>
      <c r="B12" s="152"/>
      <c r="C12" s="106" t="s">
        <v>84</v>
      </c>
      <c r="D12" s="110" t="s">
        <v>85</v>
      </c>
      <c r="E12" s="107" t="s">
        <v>80</v>
      </c>
      <c r="F12" s="107" t="s">
        <v>86</v>
      </c>
      <c r="G12" s="108" t="s">
        <v>33</v>
      </c>
      <c r="H12" s="12" t="s">
        <v>87</v>
      </c>
      <c r="I12" s="111" t="s">
        <v>26</v>
      </c>
      <c r="J12" s="107" t="s">
        <v>88</v>
      </c>
      <c r="K12" s="25">
        <v>1300</v>
      </c>
      <c r="L12" s="11">
        <v>3</v>
      </c>
      <c r="M12" s="11">
        <f t="shared" si="0"/>
        <v>1200</v>
      </c>
      <c r="N12" s="112" t="s">
        <v>28</v>
      </c>
      <c r="O12" s="46">
        <v>1.1000000000000001E-3</v>
      </c>
      <c r="P12" s="47">
        <f t="shared" si="1"/>
        <v>1.4300000000000002</v>
      </c>
      <c r="Q12" s="11"/>
      <c r="R12" s="86"/>
      <c r="S12" s="85"/>
    </row>
    <row r="13" spans="1:34">
      <c r="A13" s="6">
        <v>11</v>
      </c>
      <c r="B13" s="152"/>
      <c r="C13" s="106" t="s">
        <v>89</v>
      </c>
      <c r="D13" s="110" t="s">
        <v>90</v>
      </c>
      <c r="E13" s="107" t="s">
        <v>80</v>
      </c>
      <c r="F13" s="107" t="s">
        <v>91</v>
      </c>
      <c r="G13" s="108" t="s">
        <v>33</v>
      </c>
      <c r="H13" s="12" t="s">
        <v>92</v>
      </c>
      <c r="I13" s="111" t="s">
        <v>26</v>
      </c>
      <c r="J13" s="107" t="s">
        <v>93</v>
      </c>
      <c r="K13" s="25">
        <v>500</v>
      </c>
      <c r="L13" s="11">
        <v>1</v>
      </c>
      <c r="M13" s="11">
        <f t="shared" si="0"/>
        <v>400</v>
      </c>
      <c r="N13" s="127" t="s">
        <v>28</v>
      </c>
      <c r="O13" s="55">
        <v>1.1999999999999999E-3</v>
      </c>
      <c r="P13" s="47">
        <f t="shared" si="1"/>
        <v>0.6</v>
      </c>
      <c r="Q13" s="25"/>
      <c r="R13" s="86"/>
      <c r="S13" s="85"/>
    </row>
    <row r="14" spans="1:34">
      <c r="A14" s="6">
        <v>12</v>
      </c>
      <c r="B14" s="152"/>
      <c r="C14" s="106" t="s">
        <v>94</v>
      </c>
      <c r="D14" s="110" t="s">
        <v>95</v>
      </c>
      <c r="E14" s="107" t="s">
        <v>80</v>
      </c>
      <c r="F14" s="107" t="s">
        <v>96</v>
      </c>
      <c r="G14" s="108" t="s">
        <v>33</v>
      </c>
      <c r="H14" s="12" t="s">
        <v>97</v>
      </c>
      <c r="I14" s="111" t="s">
        <v>26</v>
      </c>
      <c r="J14" s="107" t="s">
        <v>98</v>
      </c>
      <c r="K14" s="25">
        <v>1300</v>
      </c>
      <c r="L14" s="11">
        <v>4</v>
      </c>
      <c r="M14" s="11">
        <f t="shared" si="0"/>
        <v>1600</v>
      </c>
      <c r="N14" s="112" t="s">
        <v>28</v>
      </c>
      <c r="O14" s="46">
        <v>1E-3</v>
      </c>
      <c r="P14" s="47">
        <f t="shared" si="1"/>
        <v>1.3</v>
      </c>
      <c r="Q14" s="11"/>
      <c r="R14" s="86"/>
      <c r="S14" s="85"/>
    </row>
    <row r="15" spans="1:34">
      <c r="A15" s="6">
        <v>13</v>
      </c>
      <c r="B15" s="154"/>
      <c r="C15" s="21" t="s">
        <v>99</v>
      </c>
      <c r="D15" s="22" t="s">
        <v>100</v>
      </c>
      <c r="E15" s="22" t="s">
        <v>80</v>
      </c>
      <c r="F15" s="22" t="s">
        <v>101</v>
      </c>
      <c r="G15" s="108" t="s">
        <v>33</v>
      </c>
      <c r="H15" s="12" t="s">
        <v>102</v>
      </c>
      <c r="I15" s="111" t="s">
        <v>26</v>
      </c>
      <c r="J15" s="159" t="s">
        <v>103</v>
      </c>
      <c r="K15" s="57">
        <v>900</v>
      </c>
      <c r="L15" s="22">
        <v>2</v>
      </c>
      <c r="M15" s="11">
        <f t="shared" si="0"/>
        <v>800</v>
      </c>
      <c r="N15" s="58" t="s">
        <v>28</v>
      </c>
      <c r="O15" s="46">
        <v>1.5E-3</v>
      </c>
      <c r="P15" s="47">
        <f t="shared" si="1"/>
        <v>1.35</v>
      </c>
      <c r="Q15" s="90"/>
      <c r="R15" s="91"/>
      <c r="S15" s="85"/>
    </row>
    <row r="16" spans="1:34">
      <c r="A16" s="6">
        <v>14</v>
      </c>
      <c r="B16" s="154"/>
      <c r="C16" s="21" t="s">
        <v>104</v>
      </c>
      <c r="D16" s="22" t="s">
        <v>105</v>
      </c>
      <c r="E16" s="22" t="s">
        <v>80</v>
      </c>
      <c r="F16" s="22" t="s">
        <v>106</v>
      </c>
      <c r="G16" s="108" t="s">
        <v>33</v>
      </c>
      <c r="H16" s="12" t="s">
        <v>107</v>
      </c>
      <c r="I16" s="111" t="s">
        <v>26</v>
      </c>
      <c r="J16" s="159" t="s">
        <v>108</v>
      </c>
      <c r="K16" s="57">
        <v>500</v>
      </c>
      <c r="L16" s="22">
        <v>1</v>
      </c>
      <c r="M16" s="11">
        <f t="shared" si="0"/>
        <v>400</v>
      </c>
      <c r="N16" s="58" t="s">
        <v>28</v>
      </c>
      <c r="O16" s="46">
        <v>1.1999999999999999E-3</v>
      </c>
      <c r="P16" s="47">
        <f t="shared" si="1"/>
        <v>0.6</v>
      </c>
      <c r="Q16" s="90"/>
      <c r="R16" s="91"/>
      <c r="S16" s="85"/>
    </row>
    <row r="17" spans="1:19">
      <c r="A17" s="6">
        <v>15</v>
      </c>
      <c r="B17" s="153"/>
      <c r="C17" s="113" t="s">
        <v>109</v>
      </c>
      <c r="D17" s="114" t="s">
        <v>110</v>
      </c>
      <c r="E17" s="115" t="s">
        <v>80</v>
      </c>
      <c r="F17" s="115" t="s">
        <v>111</v>
      </c>
      <c r="G17" s="116" t="s">
        <v>112</v>
      </c>
      <c r="H17" s="15" t="s">
        <v>113</v>
      </c>
      <c r="I17" s="117" t="s">
        <v>26</v>
      </c>
      <c r="J17" s="115" t="s">
        <v>114</v>
      </c>
      <c r="K17" s="13">
        <v>420</v>
      </c>
      <c r="L17" s="13">
        <v>1</v>
      </c>
      <c r="M17" s="13">
        <f t="shared" si="0"/>
        <v>400</v>
      </c>
      <c r="N17" s="118" t="s">
        <v>28</v>
      </c>
      <c r="O17" s="54">
        <v>1.38E-2</v>
      </c>
      <c r="P17" s="50">
        <f t="shared" ref="P17:P28" si="2">O17*K17</f>
        <v>5.7960000000000003</v>
      </c>
      <c r="Q17" s="13"/>
      <c r="R17" s="88"/>
      <c r="S17" s="85"/>
    </row>
    <row r="18" spans="1:19">
      <c r="A18" s="6">
        <v>16</v>
      </c>
      <c r="B18" s="16" t="s">
        <v>115</v>
      </c>
      <c r="C18" s="128" t="s">
        <v>116</v>
      </c>
      <c r="D18" s="129" t="s">
        <v>117</v>
      </c>
      <c r="E18" s="123" t="s">
        <v>118</v>
      </c>
      <c r="F18" s="123" t="s">
        <v>119</v>
      </c>
      <c r="G18" s="130" t="s">
        <v>120</v>
      </c>
      <c r="H18" s="130" t="s">
        <v>26</v>
      </c>
      <c r="I18" s="123" t="s">
        <v>26</v>
      </c>
      <c r="J18" s="23"/>
      <c r="K18" s="23">
        <v>420</v>
      </c>
      <c r="L18" s="17">
        <v>1</v>
      </c>
      <c r="M18" s="17">
        <f t="shared" si="0"/>
        <v>400</v>
      </c>
      <c r="N18" s="158" t="s">
        <v>28</v>
      </c>
      <c r="O18" s="51">
        <v>0.05</v>
      </c>
      <c r="P18" s="52">
        <f t="shared" si="2"/>
        <v>21</v>
      </c>
      <c r="Q18" s="17"/>
      <c r="R18" s="89"/>
      <c r="S18" s="85"/>
    </row>
    <row r="19" spans="1:19">
      <c r="A19" s="6">
        <v>17</v>
      </c>
      <c r="B19" s="151" t="s">
        <v>121</v>
      </c>
      <c r="C19" s="131" t="s">
        <v>122</v>
      </c>
      <c r="D19" s="132" t="s">
        <v>123</v>
      </c>
      <c r="E19" s="24"/>
      <c r="F19" s="125" t="s">
        <v>124</v>
      </c>
      <c r="G19" s="9"/>
      <c r="H19" s="9"/>
      <c r="I19" s="9"/>
      <c r="J19" s="9"/>
      <c r="K19" s="9">
        <v>410</v>
      </c>
      <c r="L19" s="7">
        <v>1</v>
      </c>
      <c r="M19" s="59">
        <v>400</v>
      </c>
      <c r="N19" s="60" t="s">
        <v>125</v>
      </c>
      <c r="O19" s="61">
        <v>21.26</v>
      </c>
      <c r="P19" s="62">
        <f t="shared" si="2"/>
        <v>8716.6</v>
      </c>
      <c r="Q19" s="24"/>
      <c r="R19" s="84"/>
      <c r="S19" s="85"/>
    </row>
    <row r="20" spans="1:19">
      <c r="A20" s="6">
        <v>18</v>
      </c>
      <c r="B20" s="152"/>
      <c r="C20" s="133" t="s">
        <v>126</v>
      </c>
      <c r="D20" s="134" t="s">
        <v>127</v>
      </c>
      <c r="E20" s="111" t="s">
        <v>128</v>
      </c>
      <c r="F20" s="111" t="s">
        <v>129</v>
      </c>
      <c r="G20" s="109" t="s">
        <v>130</v>
      </c>
      <c r="H20" s="12" t="s">
        <v>131</v>
      </c>
      <c r="I20" s="111" t="s">
        <v>26</v>
      </c>
      <c r="J20" s="109" t="s">
        <v>63</v>
      </c>
      <c r="K20" s="12">
        <v>420</v>
      </c>
      <c r="L20" s="11">
        <v>1</v>
      </c>
      <c r="M20" s="11">
        <f t="shared" ref="M20:M28" si="3">L20*400</f>
        <v>400</v>
      </c>
      <c r="N20" s="63" t="s">
        <v>28</v>
      </c>
      <c r="O20" s="55">
        <v>0.2868</v>
      </c>
      <c r="P20" s="64">
        <f t="shared" si="2"/>
        <v>120.456</v>
      </c>
      <c r="Q20" s="25"/>
      <c r="R20" s="86"/>
      <c r="S20" s="85"/>
    </row>
    <row r="21" spans="1:19">
      <c r="A21" s="6">
        <v>19</v>
      </c>
      <c r="B21" s="152"/>
      <c r="C21" s="133" t="s">
        <v>132</v>
      </c>
      <c r="D21" s="134" t="s">
        <v>133</v>
      </c>
      <c r="E21" s="111" t="s">
        <v>128</v>
      </c>
      <c r="F21" s="111" t="s">
        <v>134</v>
      </c>
      <c r="G21" s="109" t="s">
        <v>135</v>
      </c>
      <c r="H21" s="109" t="s">
        <v>26</v>
      </c>
      <c r="I21" s="111" t="s">
        <v>26</v>
      </c>
      <c r="J21" s="109" t="s">
        <v>63</v>
      </c>
      <c r="K21" s="12">
        <v>410</v>
      </c>
      <c r="L21" s="11">
        <v>1</v>
      </c>
      <c r="M21" s="11">
        <f t="shared" si="3"/>
        <v>400</v>
      </c>
      <c r="N21" s="156" t="s">
        <v>156</v>
      </c>
      <c r="O21" s="65">
        <v>1.7</v>
      </c>
      <c r="P21" s="64">
        <f>O21*K21</f>
        <v>697</v>
      </c>
      <c r="Q21" s="92"/>
      <c r="R21" s="86"/>
      <c r="S21" s="85"/>
    </row>
    <row r="22" spans="1:19">
      <c r="A22" s="6">
        <v>20</v>
      </c>
      <c r="B22" s="153"/>
      <c r="C22" s="133" t="s">
        <v>136</v>
      </c>
      <c r="D22" s="117" t="s">
        <v>137</v>
      </c>
      <c r="E22" s="117" t="s">
        <v>138</v>
      </c>
      <c r="F22" s="27" t="s">
        <v>139</v>
      </c>
      <c r="G22" s="117" t="s">
        <v>140</v>
      </c>
      <c r="H22" s="28" t="s">
        <v>141</v>
      </c>
      <c r="I22" s="117" t="s">
        <v>26</v>
      </c>
      <c r="J22" s="135" t="s">
        <v>63</v>
      </c>
      <c r="K22" s="15">
        <v>420</v>
      </c>
      <c r="L22" s="13">
        <v>1</v>
      </c>
      <c r="M22" s="13">
        <f t="shared" si="3"/>
        <v>400</v>
      </c>
      <c r="N22" s="157" t="s">
        <v>156</v>
      </c>
      <c r="O22" s="49">
        <v>0.4</v>
      </c>
      <c r="P22" s="66">
        <f t="shared" si="2"/>
        <v>168</v>
      </c>
      <c r="Q22" s="26"/>
      <c r="R22" s="88"/>
      <c r="S22" s="85"/>
    </row>
    <row r="23" spans="1:19">
      <c r="A23" s="6">
        <v>21</v>
      </c>
      <c r="B23" s="151" t="s">
        <v>142</v>
      </c>
      <c r="C23" s="136" t="s">
        <v>143</v>
      </c>
      <c r="D23" s="137" t="s">
        <v>144</v>
      </c>
      <c r="E23" s="138" t="s">
        <v>118</v>
      </c>
      <c r="F23" s="138" t="s">
        <v>145</v>
      </c>
      <c r="G23" s="29"/>
      <c r="H23" s="30"/>
      <c r="I23" s="67"/>
      <c r="J23" s="67"/>
      <c r="K23" s="67"/>
      <c r="L23" s="29">
        <v>1</v>
      </c>
      <c r="M23" s="29">
        <f t="shared" si="3"/>
        <v>400</v>
      </c>
      <c r="N23" s="68"/>
      <c r="O23" s="69"/>
      <c r="P23" s="70">
        <f t="shared" si="2"/>
        <v>0</v>
      </c>
      <c r="Q23" s="93"/>
      <c r="R23" s="94" t="s">
        <v>169</v>
      </c>
      <c r="S23" s="85"/>
    </row>
    <row r="24" spans="1:19">
      <c r="A24" s="6">
        <v>22</v>
      </c>
      <c r="B24" s="153"/>
      <c r="C24" s="139" t="s">
        <v>146</v>
      </c>
      <c r="D24" s="140" t="s">
        <v>147</v>
      </c>
      <c r="E24" s="117" t="s">
        <v>118</v>
      </c>
      <c r="F24" s="117" t="s">
        <v>148</v>
      </c>
      <c r="G24" s="26"/>
      <c r="H24" s="15"/>
      <c r="I24" s="15"/>
      <c r="J24" s="15"/>
      <c r="K24" s="15">
        <v>420</v>
      </c>
      <c r="L24" s="13">
        <v>1</v>
      </c>
      <c r="M24" s="13">
        <f t="shared" si="3"/>
        <v>400</v>
      </c>
      <c r="N24" s="141" t="s">
        <v>149</v>
      </c>
      <c r="O24" s="71">
        <v>0.86619999999999997</v>
      </c>
      <c r="P24" s="66">
        <f t="shared" si="2"/>
        <v>363.80399999999997</v>
      </c>
      <c r="Q24" s="95"/>
      <c r="R24" s="88"/>
      <c r="S24" s="85"/>
    </row>
    <row r="25" spans="1:19">
      <c r="A25" s="6">
        <v>23</v>
      </c>
      <c r="B25" s="151" t="s">
        <v>150</v>
      </c>
      <c r="C25" s="101" t="s">
        <v>151</v>
      </c>
      <c r="D25" s="102" t="s">
        <v>152</v>
      </c>
      <c r="E25" s="103" t="s">
        <v>153</v>
      </c>
      <c r="F25" s="103" t="s">
        <v>154</v>
      </c>
      <c r="G25" s="103" t="s">
        <v>155</v>
      </c>
      <c r="H25" s="31"/>
      <c r="I25" s="31"/>
      <c r="J25" s="7"/>
      <c r="K25" s="31">
        <v>35</v>
      </c>
      <c r="L25" s="7">
        <v>8.7499999999999994E-2</v>
      </c>
      <c r="M25" s="31">
        <f t="shared" si="3"/>
        <v>35</v>
      </c>
      <c r="N25" s="155" t="s">
        <v>156</v>
      </c>
      <c r="O25" s="72">
        <v>2.2599999999999998</v>
      </c>
      <c r="P25" s="62">
        <f t="shared" si="2"/>
        <v>79.099999999999994</v>
      </c>
      <c r="Q25" s="24"/>
      <c r="R25" s="84"/>
      <c r="S25" s="85"/>
    </row>
    <row r="26" spans="1:19">
      <c r="A26" s="6">
        <v>24</v>
      </c>
      <c r="B26" s="152"/>
      <c r="C26" s="106" t="s">
        <v>157</v>
      </c>
      <c r="D26" s="110" t="s">
        <v>158</v>
      </c>
      <c r="E26" s="107" t="s">
        <v>159</v>
      </c>
      <c r="F26" s="107" t="s">
        <v>159</v>
      </c>
      <c r="G26" s="107" t="s">
        <v>155</v>
      </c>
      <c r="H26" s="32"/>
      <c r="I26" s="32"/>
      <c r="J26" s="11"/>
      <c r="K26" s="32">
        <v>5</v>
      </c>
      <c r="L26" s="11">
        <v>0.01</v>
      </c>
      <c r="M26" s="32">
        <f t="shared" si="3"/>
        <v>4</v>
      </c>
      <c r="N26" s="73" t="s">
        <v>156</v>
      </c>
      <c r="O26" s="55">
        <v>32.9</v>
      </c>
      <c r="P26" s="64">
        <f t="shared" si="2"/>
        <v>164.5</v>
      </c>
      <c r="Q26" s="25"/>
      <c r="R26" s="86"/>
      <c r="S26" s="85"/>
    </row>
    <row r="27" spans="1:19">
      <c r="A27" s="6">
        <v>25</v>
      </c>
      <c r="B27" s="152"/>
      <c r="C27" s="142" t="s">
        <v>160</v>
      </c>
      <c r="D27" s="143" t="s">
        <v>161</v>
      </c>
      <c r="E27" s="143" t="s">
        <v>162</v>
      </c>
      <c r="F27" s="33" t="s">
        <v>162</v>
      </c>
      <c r="G27" s="33"/>
      <c r="H27" s="33"/>
      <c r="I27" s="33"/>
      <c r="J27" s="33"/>
      <c r="K27" s="33"/>
      <c r="L27" s="74">
        <v>5</v>
      </c>
      <c r="M27" s="74">
        <f t="shared" si="3"/>
        <v>2000</v>
      </c>
      <c r="N27" s="33"/>
      <c r="O27" s="75"/>
      <c r="P27" s="76">
        <f t="shared" si="2"/>
        <v>0</v>
      </c>
      <c r="Q27" s="96" t="s">
        <v>163</v>
      </c>
      <c r="R27" s="97"/>
      <c r="S27" s="85"/>
    </row>
    <row r="28" spans="1:19">
      <c r="A28" s="6">
        <v>26</v>
      </c>
      <c r="B28" s="153"/>
      <c r="C28" s="144" t="s">
        <v>164</v>
      </c>
      <c r="D28" s="34" t="s">
        <v>165</v>
      </c>
      <c r="E28" s="145" t="s">
        <v>166</v>
      </c>
      <c r="F28" s="34" t="s">
        <v>166</v>
      </c>
      <c r="G28" s="34"/>
      <c r="H28" s="34"/>
      <c r="I28" s="34"/>
      <c r="J28" s="34"/>
      <c r="K28" s="34"/>
      <c r="L28" s="77">
        <v>3</v>
      </c>
      <c r="M28" s="77">
        <f t="shared" si="3"/>
        <v>1200</v>
      </c>
      <c r="N28" s="34"/>
      <c r="O28" s="78"/>
      <c r="P28" s="79">
        <f t="shared" si="2"/>
        <v>0</v>
      </c>
      <c r="Q28" s="98" t="s">
        <v>163</v>
      </c>
      <c r="R28" s="99"/>
      <c r="S28" s="85"/>
    </row>
    <row r="29" spans="1:19">
      <c r="A29" s="1"/>
      <c r="C29" s="35"/>
      <c r="D29" s="36"/>
      <c r="E29" s="35"/>
      <c r="G29" s="35"/>
      <c r="H29" s="35"/>
      <c r="I29" s="35"/>
      <c r="J29" s="35"/>
      <c r="K29" s="35"/>
      <c r="L29" s="148" t="s">
        <v>167</v>
      </c>
      <c r="M29" s="148"/>
      <c r="N29" s="148"/>
      <c r="O29" s="148"/>
      <c r="P29" s="80">
        <f>SUM(P3:P28)</f>
        <v>10649.425000000001</v>
      </c>
      <c r="Q29" s="35"/>
      <c r="R29" s="35"/>
      <c r="S29" s="85"/>
    </row>
    <row r="30" spans="1:19">
      <c r="A30" s="1"/>
      <c r="C30" s="35"/>
      <c r="E30" s="37"/>
      <c r="F30" s="37"/>
      <c r="G30" s="35"/>
      <c r="H30" s="35"/>
      <c r="I30" s="35"/>
      <c r="J30" s="35"/>
      <c r="K30" s="35"/>
      <c r="L30" s="149" t="s">
        <v>168</v>
      </c>
      <c r="M30" s="150"/>
      <c r="N30" s="150"/>
      <c r="O30" s="150"/>
      <c r="P30" s="81">
        <f>P29/400</f>
        <v>26.623562500000002</v>
      </c>
      <c r="Q30" s="35"/>
      <c r="R30" s="35"/>
      <c r="S30" s="85"/>
    </row>
    <row r="31" spans="1:19">
      <c r="A31" s="1"/>
      <c r="D31" s="38"/>
      <c r="E31" s="37"/>
      <c r="R31" s="85"/>
      <c r="S31" s="85"/>
    </row>
    <row r="32" spans="1:19">
      <c r="A32" s="1"/>
      <c r="D32" s="37"/>
      <c r="R32" s="85"/>
      <c r="S32" s="85"/>
    </row>
    <row r="33" spans="1:19">
      <c r="A33" s="1"/>
      <c r="C33" s="38"/>
      <c r="D33" s="37"/>
      <c r="R33" s="85"/>
      <c r="S33" s="85"/>
    </row>
    <row r="34" spans="1:19">
      <c r="A34" s="1"/>
      <c r="R34" s="85"/>
      <c r="S34" s="85"/>
    </row>
    <row r="35" spans="1:19">
      <c r="A35" s="1"/>
      <c r="R35" s="85"/>
      <c r="S35" s="85"/>
    </row>
    <row r="36" spans="1:19">
      <c r="A36" s="1"/>
      <c r="R36" s="85"/>
      <c r="S36" s="85"/>
    </row>
    <row r="37" spans="1:19">
      <c r="A37" s="1"/>
      <c r="R37" s="85"/>
      <c r="S37" s="85"/>
    </row>
    <row r="38" spans="1:19" ht="15.75" customHeight="1">
      <c r="A38" s="1"/>
      <c r="R38" s="85"/>
      <c r="S38" s="85"/>
    </row>
    <row r="39" spans="1:19">
      <c r="A39" s="1"/>
      <c r="R39" s="85"/>
      <c r="S39" s="85"/>
    </row>
    <row r="40" spans="1:19">
      <c r="A40" s="1"/>
      <c r="R40" s="85"/>
      <c r="S40" s="85"/>
    </row>
    <row r="41" spans="1:19">
      <c r="A41" s="1"/>
      <c r="R41" s="85"/>
      <c r="S41" s="85"/>
    </row>
    <row r="42" spans="1:19">
      <c r="A42" s="1"/>
      <c r="R42" s="85"/>
      <c r="S42" s="85"/>
    </row>
    <row r="43" spans="1:19">
      <c r="A43" s="1"/>
      <c r="R43" s="85"/>
      <c r="S43" s="85"/>
    </row>
    <row r="44" spans="1:19">
      <c r="H44" s="39"/>
      <c r="Q44" s="56"/>
    </row>
    <row r="45" spans="1:19">
      <c r="H45" s="39"/>
      <c r="Q45" s="56"/>
    </row>
  </sheetData>
  <mergeCells count="9">
    <mergeCell ref="A1:R1"/>
    <mergeCell ref="L29:O29"/>
    <mergeCell ref="L30:O30"/>
    <mergeCell ref="B3:B7"/>
    <mergeCell ref="B9:B10"/>
    <mergeCell ref="B11:B17"/>
    <mergeCell ref="B19:B22"/>
    <mergeCell ref="B23:B24"/>
    <mergeCell ref="B25:B28"/>
  </mergeCells>
  <conditionalFormatting sqref="Q24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L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7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{8AE3E078-20BF-4FAB-B4D9-9A19E57EB3A1}</x14:id>
        </ext>
      </extLst>
    </cfRule>
  </conditionalFormatting>
  <conditionalFormatting sqref="L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8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{73C16A20-6CA5-41F8-8719-298C2C627FBF}</x14:id>
        </ext>
      </extLst>
    </cfRule>
  </conditionalFormatting>
  <conditionalFormatting sqref="P30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{A8943134-F8F0-4DF3-A9A0-86442E65814B}</x14:id>
        </ext>
      </extLst>
    </cfRule>
  </conditionalFormatting>
  <conditionalFormatting sqref="L3:L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N9:N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N18:N2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{2D34257C-D5C6-42A5-A089-B74C0971175C}</x14:id>
        </ext>
      </extLst>
    </cfRule>
  </conditionalFormatting>
  <conditionalFormatting sqref="P3:P2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{70CE0387-EDB2-443C-842F-1D5EE6E70AF7}</x14:id>
        </ext>
      </extLst>
    </cfRule>
  </conditionalFormatting>
  <conditionalFormatting sqref="M3:M16 L17:M26 L8:L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28 L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N3" r:id="rId1" xr:uid="{00000000-0004-0000-0000-000000000000}"/>
    <hyperlink ref="N4" r:id="rId2" xr:uid="{00000000-0004-0000-0000-000001000000}"/>
    <hyperlink ref="N5" r:id="rId3" xr:uid="{00000000-0004-0000-0000-000002000000}"/>
    <hyperlink ref="N8" r:id="rId4" xr:uid="{00000000-0004-0000-0000-000003000000}"/>
    <hyperlink ref="N9" r:id="rId5" xr:uid="{00000000-0004-0000-0000-000004000000}"/>
    <hyperlink ref="N10" r:id="rId6" xr:uid="{00000000-0004-0000-0000-000005000000}"/>
    <hyperlink ref="N11" r:id="rId7" xr:uid="{00000000-0004-0000-0000-000006000000}"/>
    <hyperlink ref="N13" r:id="rId8" xr:uid="{00000000-0004-0000-0000-000007000000}"/>
    <hyperlink ref="N12" r:id="rId9" xr:uid="{00000000-0004-0000-0000-000008000000}"/>
    <hyperlink ref="N14" r:id="rId10" xr:uid="{00000000-0004-0000-0000-000009000000}"/>
    <hyperlink ref="N17" r:id="rId11" xr:uid="{00000000-0004-0000-0000-00000A000000}"/>
    <hyperlink ref="N18" r:id="rId12" xr:uid="{00000000-0004-0000-0000-00000B000000}"/>
    <hyperlink ref="N20" r:id="rId13" xr:uid="{00000000-0004-0000-0000-00000C000000}"/>
    <hyperlink ref="N6" r:id="rId14" xr:uid="{00000000-0004-0000-0000-00000D000000}"/>
    <hyperlink ref="N7" r:id="rId15" xr:uid="{00000000-0004-0000-0000-00000E000000}"/>
    <hyperlink ref="N21" r:id="rId16" xr:uid="{00000000-0004-0000-0000-00000F000000}"/>
    <hyperlink ref="N25" r:id="rId17" xr:uid="{00000000-0004-0000-0000-000010000000}"/>
    <hyperlink ref="N26" r:id="rId18" xr:uid="{00000000-0004-0000-0000-000011000000}"/>
    <hyperlink ref="N22" r:id="rId19" xr:uid="{00000000-0004-0000-0000-000012000000}"/>
    <hyperlink ref="N15" r:id="rId20" xr:uid="{00000000-0004-0000-0000-000013000000}"/>
    <hyperlink ref="N16" r:id="rId21" xr:uid="{00000000-0004-0000-0000-000014000000}"/>
  </hyperlink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AE3E078-20BF-4FAB-B4D9-9A19E57EB3A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3C16A20-6CA5-41F8-8719-298C2C627F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8943134-F8F0-4DF3-A9A0-86442E6581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P30</xm:sqref>
        </x14:conditionalFormatting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N9:N10</xm:sqref>
        </x14:conditionalFormatting>
        <x14:conditionalFormatting xmlns:xm="http://schemas.microsoft.com/office/excel/2006/main">
          <x14:cfRule type="dataBar" id="{2D34257C-D5C6-42A5-A089-B74C09711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N18:N20</xm:sqref>
        </x14:conditionalFormatting>
        <x14:conditionalFormatting xmlns:xm="http://schemas.microsoft.com/office/excel/2006/main">
          <x14:cfRule type="dataBar" id="{70CE0387-EDB2-443C-842F-1D5EE6E7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Faizan Ur Rahman</cp:lastModifiedBy>
  <dcterms:created xsi:type="dcterms:W3CDTF">2021-10-16T12:34:00Z</dcterms:created>
  <dcterms:modified xsi:type="dcterms:W3CDTF">2021-10-19T19:03:38Z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