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97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<sst xmlns="http://schemas.openxmlformats.org/spreadsheetml/2006/main" count="217" uniqueCount="162">
  <si>
    <t xml:space="preserve">Bill of Material (BOM) for Refrence Formate 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</si>
  <si>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</si>
  <si>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</si>
  <si>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</si>
  <si>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</si>
  <si>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</si>
  <si>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</si>
  <si>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</si>
  <si>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</si>
  <si>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</si>
  <si>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</si>
  <si>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</si>
  <si>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</si>
  <si>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Quantity 400</t>
  </si>
  <si>
    <t>Link</t>
  </si>
  <si>
    <t>Unit Cost(1)</t>
  </si>
  <si>
    <t>MOQ Total</t>
  </si>
  <si>
    <t>Remarks</t>
  </si>
  <si>
    <t>Quotation of orignal parts from Chinese supplier</t>
  </si>
  <si>
    <t>Capacitor</t>
  </si>
  <si>
    <t>CAP CER 1UF 100V X7S 0805</t>
  </si>
  <si>
    <t>C1, C3, C5, C26</t>
  </si>
  <si>
    <t>Cap0805</t>
  </si>
  <si>
    <t>GCM21BC72A105KE36L</t>
  </si>
  <si>
    <t xml:space="preserve">Murata </t>
  </si>
  <si>
    <t>C2842838</t>
  </si>
  <si>
    <t>------------</t>
  </si>
  <si>
    <t>1uF</t>
  </si>
  <si>
    <t>LCSC</t>
  </si>
  <si>
    <t>CAP CER 0.1UF 100V X7R 0603</t>
  </si>
  <si>
    <t>C2, C4, C6, C7, C8, C9, C10, C11, C12, C13, C14, C15, C16, C20, C21, C22, C23, C24, C25, C30, C31, C41</t>
  </si>
  <si>
    <t>Cap0603</t>
  </si>
  <si>
    <t>CC0603KRX7R0BB104</t>
  </si>
  <si>
    <t>YAGEO</t>
  </si>
  <si>
    <t xml:space="preserve">C113803
</t>
  </si>
  <si>
    <t>0.1uF</t>
  </si>
  <si>
    <t>CAP CER 10UF 50V X5R 0805</t>
  </si>
  <si>
    <t>C17</t>
  </si>
  <si>
    <t>GRM21BR61H106ME43L</t>
  </si>
  <si>
    <t>C440198</t>
  </si>
  <si>
    <t>GRM21BR61H106KE43L</t>
  </si>
  <si>
    <t>10uF</t>
  </si>
  <si>
    <t>CAP CER 4.7UF 25V X5R 0603</t>
  </si>
  <si>
    <t>C18, C19, C29</t>
  </si>
  <si>
    <t>C1608X5R1E475M080AC</t>
  </si>
  <si>
    <t xml:space="preserve">TDK </t>
  </si>
  <si>
    <t>C76615</t>
  </si>
  <si>
    <t>C1608X5R1E475KT000E</t>
  </si>
  <si>
    <t>4.7uF</t>
  </si>
  <si>
    <t>CAP CER 10PF 50V C0G/NP0 0603</t>
  </si>
  <si>
    <t>C27, C28, C32, C33</t>
  </si>
  <si>
    <t>06035A100JAT2A</t>
  </si>
  <si>
    <t xml:space="preserve">KYOCERA AVX
</t>
  </si>
  <si>
    <t xml:space="preserve">C106245
</t>
  </si>
  <si>
    <t>CC0603JRNPO9BN100</t>
  </si>
  <si>
    <t>10pF</t>
  </si>
  <si>
    <t>LED</t>
  </si>
  <si>
    <t>Green 520~535nm 0402 Light Emitting Diodes (LED) RoHS</t>
  </si>
  <si>
    <t>LED1, LED2</t>
  </si>
  <si>
    <t>LED 0402</t>
  </si>
  <si>
    <t>16-213/GHC-YR1S1/3T</t>
  </si>
  <si>
    <t>Everlight Elec</t>
  </si>
  <si>
    <t>C74338</t>
  </si>
  <si>
    <t>-----</t>
  </si>
  <si>
    <t xml:space="preserve">Inductor </t>
  </si>
  <si>
    <t>200Ω @ 100MHz 1 1A 300mΩ 0603 Ferrite Beads</t>
  </si>
  <si>
    <t>L1, L2, L3, L4, L5</t>
  </si>
  <si>
    <t>Ind 0603</t>
  </si>
  <si>
    <t>MLB1608-201P1A(f)</t>
  </si>
  <si>
    <t xml:space="preserve">Meled </t>
  </si>
  <si>
    <t>C45316</t>
  </si>
  <si>
    <t>IND SMD 10uH 500mA 0805</t>
  </si>
  <si>
    <t>L6</t>
  </si>
  <si>
    <t>Ind0805</t>
  </si>
  <si>
    <t>MGFL2012F100MT-LF</t>
  </si>
  <si>
    <t>microgate</t>
  </si>
  <si>
    <t>C281113</t>
  </si>
  <si>
    <t>Resistor</t>
  </si>
  <si>
    <t>RES SMD 10K OHM 5% 1/10W 0603</t>
  </si>
  <si>
    <t>R1, R2, R3, R4, R5, R9, R14, R15, R16, R41, R42,R23</t>
  </si>
  <si>
    <t>Res0603</t>
  </si>
  <si>
    <t>AC0603JR-0710KL</t>
  </si>
  <si>
    <t>C140867</t>
  </si>
  <si>
    <t>10K</t>
  </si>
  <si>
    <t>RES SMD 0603 33 Ohm 1% 1/10W</t>
  </si>
  <si>
    <t>R6, R11, R12</t>
  </si>
  <si>
    <t>RC0603FR-0733RL</t>
  </si>
  <si>
    <t>C108661</t>
  </si>
  <si>
    <t>33R</t>
  </si>
  <si>
    <t>RES  SMD 330R 100 mW 0603</t>
  </si>
  <si>
    <t>R7</t>
  </si>
  <si>
    <t>RC0603JR-07330RL</t>
  </si>
  <si>
    <t>C105879</t>
  </si>
  <si>
    <t>330R</t>
  </si>
  <si>
    <t>RES SMD 1K OHM 1% 1/10W 0603</t>
  </si>
  <si>
    <t>R8, R10, R40</t>
  </si>
  <si>
    <t>RC0603FR-071KL</t>
  </si>
  <si>
    <t>C22548</t>
  </si>
  <si>
    <t>1K</t>
  </si>
  <si>
    <t>RES SMD 12.1K OHM 1/10W 0603</t>
  </si>
  <si>
    <t>R13</t>
  </si>
  <si>
    <t>RT0603CRD0712K1L</t>
  </si>
  <si>
    <t xml:space="preserve">Stackpole </t>
  </si>
  <si>
    <t>C705893</t>
  </si>
  <si>
    <t>12.1K</t>
  </si>
  <si>
    <t>Switch</t>
  </si>
  <si>
    <t>SWITCH TACTILE SPST-NO 0.05A 12V</t>
  </si>
  <si>
    <t>SW1</t>
  </si>
  <si>
    <t>Custom</t>
  </si>
  <si>
    <t>B3U-1000P</t>
  </si>
  <si>
    <t>Omron</t>
  </si>
  <si>
    <t>Utsource</t>
  </si>
  <si>
    <t>Ics</t>
  </si>
  <si>
    <t>IC ETHERCAT SLAVE CONTROLLER</t>
  </si>
  <si>
    <t>U1</t>
  </si>
  <si>
    <t>LAN9255/ZMX019</t>
  </si>
  <si>
    <t>Cstom Supplier</t>
  </si>
  <si>
    <t>IC EEPROM 256KBIT I2C 1MHZ 8SOIC</t>
  </si>
  <si>
    <t>U2</t>
  </si>
  <si>
    <t>8-SOIC</t>
  </si>
  <si>
    <t>CAT24C256WI-GT3</t>
  </si>
  <si>
    <t>onsemi</t>
  </si>
  <si>
    <t>C79987</t>
  </si>
  <si>
    <t>MAGNETIC ANGLE SENSOR</t>
  </si>
  <si>
    <t>U4</t>
  </si>
  <si>
    <t>TLE5012BE5000FUMA1</t>
  </si>
  <si>
    <t xml:space="preserve">Infineon </t>
  </si>
  <si>
    <t>Alibaba</t>
  </si>
  <si>
    <t>IC TRNSLTR BIDIRECTIONAL US8</t>
  </si>
  <si>
    <t>U5</t>
  </si>
  <si>
    <t>8-VSSOP</t>
  </si>
  <si>
    <t>TXB0102DCUT</t>
  </si>
  <si>
    <t xml:space="preserve">Texas </t>
  </si>
  <si>
    <t>C2677366</t>
  </si>
  <si>
    <t>Crystal</t>
  </si>
  <si>
    <t>CRYSTAL 25.0000MHZ 8PF SMD</t>
  </si>
  <si>
    <t>X1</t>
  </si>
  <si>
    <t>C3E-25.000-8-1015-X-M</t>
  </si>
  <si>
    <t>out of stock</t>
  </si>
  <si>
    <t>Crystal 32.768KHZ 6.0PF SMD</t>
  </si>
  <si>
    <t>X2</t>
  </si>
  <si>
    <t>CM8V-T1A-32.768KHZ-6PF-20PPM-TA-QC</t>
  </si>
  <si>
    <t>Custom supplier</t>
  </si>
  <si>
    <t>Connector</t>
  </si>
  <si>
    <t xml:space="preserve"> 2.54mm Pin Header Male single row Right Angle SMD</t>
  </si>
  <si>
    <t>J1</t>
  </si>
  <si>
    <t>HDR1X5 SMD</t>
  </si>
  <si>
    <t>PH254P1x12SMRA-100</t>
  </si>
  <si>
    <t>RTLECS</t>
  </si>
  <si>
    <t>Aliexpress</t>
  </si>
  <si>
    <t>P=2.54mm Female Headers,SMD,ROHS</t>
  </si>
  <si>
    <t>J3</t>
  </si>
  <si>
    <t>PHF254SMD-x</t>
  </si>
  <si>
    <t>Solder Bridge ON</t>
  </si>
  <si>
    <t>SB1, SB4, SB5, SB6, SB7</t>
  </si>
  <si>
    <t>Solder Bridge</t>
  </si>
  <si>
    <t>DO NOT Mount</t>
  </si>
  <si>
    <t>Test Point ON</t>
  </si>
  <si>
    <t>P1,P5,P6</t>
  </si>
  <si>
    <t>TEST POINT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</si>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</sst>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8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&quot;$&quot;#,##0.0000"/>
    <numFmt numFmtId="179" formatCode="&quot;$&quot;#,##0.00000"/>
    <numFmt numFmtId="180" formatCode="&quot;$&quot;#,##0.00"/>
    <numFmt numFmtId="181" formatCode="_-[$$-409]* #,##0.00_ ;_-[$$-409]* \-#,##0.00\ ;_-[$$-409]* &quot;-&quot;??_ ;_-@_ "/>
  </numFmts>
  <fonts count="41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rgb="FF000000"/>
      <name val="Calibri"/>
      <charset val="134"/>
    </font>
    <font>
      <b/>
      <sz val="10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color rgb="FF444444"/>
      <name val="Calibri"/>
      <charset val="134"/>
      <scheme val="minor"/>
    </font>
    <font>
      <sz val="10"/>
      <color rgb="FF333333"/>
      <name val="Arial"/>
      <charset val="134"/>
    </font>
    <font>
      <strike/>
      <sz val="10"/>
      <color rgb="FFFF0000"/>
      <name val="Calibri"/>
      <charset val="134"/>
    </font>
    <font>
      <sz val="11"/>
      <color rgb="FFFF0000"/>
      <name val="Calibri"/>
      <charset val="134"/>
      <scheme val="minor"/>
    </font>
    <font>
      <b/>
      <sz val="9"/>
      <color rgb="FF222222"/>
      <name val="Arial"/>
      <charset val="134"/>
    </font>
    <font>
      <sz val="12"/>
      <color theme="0"/>
      <name val="Calibri"/>
      <charset val="134"/>
      <scheme val="minor"/>
    </font>
    <font>
      <u/>
      <sz val="10"/>
      <color theme="10"/>
      <name val="Calibri"/>
      <charset val="134"/>
    </font>
    <font>
      <sz val="10"/>
      <color rgb="FF333333"/>
      <name val="Calibri"/>
      <charset val="134"/>
    </font>
    <font>
      <u/>
      <sz val="10"/>
      <color rgb="FF0000FF"/>
      <name val="Calibri"/>
      <charset val="0"/>
      <scheme val="minor"/>
    </font>
    <font>
      <u/>
      <sz val="10"/>
      <color rgb="FF0000FF"/>
      <name val="Calibri"/>
      <charset val="0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rgb="FFFF0000"/>
      <name val="Calibri"/>
      <charset val="134"/>
    </font>
    <font>
      <b/>
      <strike/>
      <sz val="10"/>
      <color rgb="FFFF0000"/>
      <name val="Calibri"/>
      <charset val="134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24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16" borderId="35" applyNumberFormat="0" applyAlignment="0" applyProtection="0">
      <alignment vertical="center"/>
    </xf>
    <xf numFmtId="0" fontId="23" fillId="0" borderId="30" applyNumberFormat="0" applyFill="0" applyAlignment="0" applyProtection="0">
      <alignment vertical="center"/>
    </xf>
    <xf numFmtId="0" fontId="0" fillId="17" borderId="36" applyNumberFormat="0" applyFont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0" fillId="0" borderId="30" applyNumberFormat="0" applyFill="0" applyAlignment="0" applyProtection="0">
      <alignment vertical="center"/>
    </xf>
    <xf numFmtId="0" fontId="36" fillId="0" borderId="3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28" fillId="10" borderId="33" applyNumberFormat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3" fillId="11" borderId="34" applyNumberFormat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9" fillId="11" borderId="33" applyNumberFormat="0" applyAlignment="0" applyProtection="0">
      <alignment vertical="center"/>
    </xf>
    <xf numFmtId="0" fontId="26" fillId="0" borderId="31" applyNumberFormat="0" applyFill="0" applyAlignment="0" applyProtection="0">
      <alignment vertical="center"/>
    </xf>
    <xf numFmtId="0" fontId="27" fillId="0" borderId="32" applyNumberFormat="0" applyFill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left" vertical="center"/>
    </xf>
    <xf numFmtId="0" fontId="0" fillId="0" borderId="8" xfId="0" applyFill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left" vertical="center"/>
    </xf>
    <xf numFmtId="0" fontId="0" fillId="0" borderId="11" xfId="0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left" vertical="center"/>
    </xf>
    <xf numFmtId="0" fontId="0" fillId="0" borderId="14" xfId="0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5" fillId="0" borderId="14" xfId="0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left" vertical="center"/>
    </xf>
    <xf numFmtId="0" fontId="0" fillId="0" borderId="16" xfId="0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0" fontId="5" fillId="0" borderId="16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left" vertical="center"/>
    </xf>
    <xf numFmtId="0" fontId="0" fillId="4" borderId="16" xfId="0" applyFill="1" applyBorder="1" applyAlignment="1">
      <alignment horizontal="center" vertical="center"/>
    </xf>
    <xf numFmtId="0" fontId="5" fillId="4" borderId="16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left" vertical="center"/>
    </xf>
    <xf numFmtId="0" fontId="7" fillId="4" borderId="8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left" vertical="center"/>
    </xf>
    <xf numFmtId="0" fontId="7" fillId="4" borderId="11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6" fillId="0" borderId="12" xfId="0" applyFont="1" applyFill="1" applyBorder="1" applyAlignment="1">
      <alignment horizontal="center" vertical="center"/>
    </xf>
    <xf numFmtId="0" fontId="8" fillId="5" borderId="17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5" borderId="17" xfId="0" applyFont="1" applyFill="1" applyBorder="1" applyAlignment="1">
      <alignment horizontal="center" vertical="center" wrapText="1"/>
    </xf>
    <xf numFmtId="0" fontId="3" fillId="0" borderId="18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left" vertical="center"/>
    </xf>
    <xf numFmtId="0" fontId="0" fillId="4" borderId="20" xfId="0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0" fillId="5" borderId="0" xfId="0" applyFill="1">
      <alignment vertical="center"/>
    </xf>
    <xf numFmtId="0" fontId="4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0" fillId="6" borderId="10" xfId="0" applyFont="1" applyFill="1" applyBorder="1" applyAlignment="1">
      <alignment horizontal="left" vertical="center"/>
    </xf>
    <xf numFmtId="0" fontId="10" fillId="6" borderId="11" xfId="0" applyFont="1" applyFill="1" applyBorder="1" applyAlignment="1">
      <alignment horizontal="center" vertical="center"/>
    </xf>
    <xf numFmtId="0" fontId="10" fillId="6" borderId="13" xfId="0" applyFont="1" applyFill="1" applyBorder="1" applyAlignment="1">
      <alignment horizontal="left" vertical="center"/>
    </xf>
    <xf numFmtId="0" fontId="10" fillId="6" borderId="1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11" fillId="4" borderId="0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left" vertical="top"/>
    </xf>
    <xf numFmtId="0" fontId="12" fillId="5" borderId="0" xfId="0" applyFont="1" applyFill="1" applyAlignment="1">
      <alignment horizontal="left" vertical="top"/>
    </xf>
    <xf numFmtId="0" fontId="7" fillId="0" borderId="0" xfId="0" applyFont="1" applyFill="1" applyAlignment="1">
      <alignment horizontal="center"/>
    </xf>
    <xf numFmtId="0" fontId="1" fillId="3" borderId="21" xfId="0" applyFont="1" applyFill="1" applyBorder="1" applyAlignment="1">
      <alignment horizontal="center" vertical="center"/>
    </xf>
    <xf numFmtId="178" fontId="1" fillId="3" borderId="5" xfId="0" applyNumberFormat="1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178" fontId="14" fillId="0" borderId="8" xfId="7" applyNumberFormat="1" applyFont="1" applyBorder="1" applyAlignment="1">
      <alignment horizontal="center" vertical="center"/>
    </xf>
    <xf numFmtId="178" fontId="5" fillId="0" borderId="8" xfId="0" applyNumberFormat="1" applyFont="1" applyFill="1" applyBorder="1" applyAlignment="1">
      <alignment horizontal="center" vertical="center"/>
    </xf>
    <xf numFmtId="178" fontId="4" fillId="0" borderId="8" xfId="0" applyNumberFormat="1" applyFont="1" applyFill="1" applyBorder="1" applyAlignment="1">
      <alignment horizontal="center" vertical="center"/>
    </xf>
    <xf numFmtId="178" fontId="14" fillId="0" borderId="11" xfId="7" applyNumberFormat="1" applyFont="1" applyBorder="1" applyAlignment="1">
      <alignment horizontal="center" vertical="center"/>
    </xf>
    <xf numFmtId="178" fontId="5" fillId="0" borderId="11" xfId="0" applyNumberFormat="1" applyFont="1" applyFill="1" applyBorder="1" applyAlignment="1">
      <alignment horizontal="center" vertical="center"/>
    </xf>
    <xf numFmtId="178" fontId="4" fillId="0" borderId="11" xfId="0" applyNumberFormat="1" applyFont="1" applyFill="1" applyBorder="1" applyAlignment="1">
      <alignment horizontal="center" vertical="center"/>
    </xf>
    <xf numFmtId="0" fontId="14" fillId="0" borderId="11" xfId="7" applyFont="1" applyBorder="1" applyAlignment="1">
      <alignment horizontal="center" vertical="center"/>
    </xf>
    <xf numFmtId="179" fontId="5" fillId="0" borderId="11" xfId="0" applyNumberFormat="1" applyFont="1" applyFill="1" applyBorder="1" applyAlignment="1">
      <alignment horizontal="center" vertical="center"/>
    </xf>
    <xf numFmtId="0" fontId="14" fillId="0" borderId="14" xfId="7" applyFont="1" applyBorder="1" applyAlignment="1">
      <alignment horizontal="center" vertical="center"/>
    </xf>
    <xf numFmtId="178" fontId="5" fillId="4" borderId="14" xfId="0" applyNumberFormat="1" applyFont="1" applyFill="1" applyBorder="1" applyAlignment="1">
      <alignment horizontal="center" vertical="center"/>
    </xf>
    <xf numFmtId="178" fontId="4" fillId="0" borderId="14" xfId="0" applyNumberFormat="1" applyFont="1" applyFill="1" applyBorder="1" applyAlignment="1">
      <alignment horizontal="center" vertical="center"/>
    </xf>
    <xf numFmtId="0" fontId="14" fillId="0" borderId="16" xfId="7" applyFont="1" applyBorder="1" applyAlignment="1">
      <alignment horizontal="center" vertical="center"/>
    </xf>
    <xf numFmtId="178" fontId="5" fillId="0" borderId="16" xfId="0" applyNumberFormat="1" applyFont="1" applyFill="1" applyBorder="1" applyAlignment="1">
      <alignment horizontal="center" vertical="center"/>
    </xf>
    <xf numFmtId="178" fontId="4" fillId="0" borderId="16" xfId="0" applyNumberFormat="1" applyFont="1" applyFill="1" applyBorder="1" applyAlignment="1">
      <alignment horizontal="center" vertical="center"/>
    </xf>
    <xf numFmtId="178" fontId="14" fillId="0" borderId="14" xfId="7" applyNumberFormat="1" applyFont="1" applyBorder="1" applyAlignment="1">
      <alignment horizontal="center" vertical="center"/>
    </xf>
    <xf numFmtId="178" fontId="5" fillId="0" borderId="14" xfId="0" applyNumberFormat="1" applyFont="1" applyFill="1" applyBorder="1" applyAlignment="1">
      <alignment horizontal="center" vertical="center"/>
    </xf>
    <xf numFmtId="0" fontId="14" fillId="0" borderId="8" xfId="7" applyFont="1" applyBorder="1" applyAlignment="1">
      <alignment horizontal="center" vertical="center"/>
    </xf>
    <xf numFmtId="0" fontId="14" fillId="4" borderId="11" xfId="7" applyFont="1" applyFill="1" applyBorder="1" applyAlignment="1">
      <alignment horizontal="center" vertical="center"/>
    </xf>
    <xf numFmtId="178" fontId="5" fillId="4" borderId="11" xfId="0" applyNumberFormat="1" applyFont="1" applyFill="1" applyBorder="1" applyAlignment="1">
      <alignment horizontal="center" vertical="center"/>
    </xf>
    <xf numFmtId="178" fontId="14" fillId="0" borderId="16" xfId="7" applyNumberFormat="1" applyFont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178" fontId="14" fillId="4" borderId="8" xfId="7" applyNumberFormat="1" applyFont="1" applyFill="1" applyBorder="1" applyAlignment="1">
      <alignment horizontal="center" vertical="center"/>
    </xf>
    <xf numFmtId="180" fontId="4" fillId="4" borderId="8" xfId="0" applyNumberFormat="1" applyFont="1" applyFill="1" applyBorder="1" applyAlignment="1">
      <alignment horizontal="center" vertical="center"/>
    </xf>
    <xf numFmtId="178" fontId="4" fillId="4" borderId="8" xfId="0" applyNumberFormat="1" applyFont="1" applyFill="1" applyBorder="1" applyAlignment="1">
      <alignment horizontal="center" vertical="center"/>
    </xf>
    <xf numFmtId="178" fontId="14" fillId="4" borderId="11" xfId="7" applyNumberFormat="1" applyFont="1" applyFill="1" applyBorder="1" applyAlignment="1">
      <alignment horizontal="center" vertical="center"/>
    </xf>
    <xf numFmtId="178" fontId="4" fillId="4" borderId="11" xfId="0" applyNumberFormat="1" applyFont="1" applyFill="1" applyBorder="1" applyAlignment="1">
      <alignment horizontal="center" vertical="center"/>
    </xf>
    <xf numFmtId="180" fontId="15" fillId="4" borderId="11" xfId="0" applyNumberFormat="1" applyFont="1" applyFill="1" applyBorder="1" applyAlignment="1">
      <alignment horizontal="center" vertical="center"/>
    </xf>
    <xf numFmtId="0" fontId="16" fillId="4" borderId="14" xfId="7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14" fillId="4" borderId="20" xfId="7" applyFont="1" applyFill="1" applyBorder="1" applyAlignment="1">
      <alignment horizontal="center" vertical="center"/>
    </xf>
    <xf numFmtId="178" fontId="5" fillId="4" borderId="20" xfId="0" applyNumberFormat="1" applyFont="1" applyFill="1" applyBorder="1" applyAlignment="1">
      <alignment horizontal="center" vertical="center"/>
    </xf>
    <xf numFmtId="178" fontId="4" fillId="4" borderId="20" xfId="0" applyNumberFormat="1" applyFont="1" applyFill="1" applyBorder="1" applyAlignment="1">
      <alignment horizontal="center" vertical="center"/>
    </xf>
    <xf numFmtId="0" fontId="14" fillId="4" borderId="14" xfId="7" applyFont="1" applyFill="1" applyBorder="1" applyAlignment="1">
      <alignment horizontal="center" vertical="center"/>
    </xf>
    <xf numFmtId="180" fontId="4" fillId="4" borderId="14" xfId="0" applyNumberFormat="1" applyFont="1" applyFill="1" applyBorder="1" applyAlignment="1">
      <alignment horizontal="center" vertical="center"/>
    </xf>
    <xf numFmtId="178" fontId="4" fillId="4" borderId="14" xfId="0" applyNumberFormat="1" applyFont="1" applyFill="1" applyBorder="1" applyAlignment="1">
      <alignment horizontal="center" vertical="center"/>
    </xf>
    <xf numFmtId="0" fontId="17" fillId="4" borderId="8" xfId="7" applyFont="1" applyFill="1" applyBorder="1" applyAlignment="1">
      <alignment horizontal="center" vertical="center"/>
    </xf>
    <xf numFmtId="178" fontId="5" fillId="4" borderId="8" xfId="0" applyNumberFormat="1" applyFont="1" applyFill="1" applyBorder="1" applyAlignment="1">
      <alignment horizontal="center" vertical="center"/>
    </xf>
    <xf numFmtId="0" fontId="17" fillId="4" borderId="11" xfId="7" applyFont="1" applyFill="1" applyBorder="1" applyAlignment="1">
      <alignment horizontal="center" vertical="center"/>
    </xf>
    <xf numFmtId="0" fontId="4" fillId="6" borderId="11" xfId="0" applyFont="1" applyFill="1" applyBorder="1" applyAlignment="1">
      <alignment horizontal="center" vertical="center"/>
    </xf>
    <xf numFmtId="178" fontId="10" fillId="6" borderId="11" xfId="0" applyNumberFormat="1" applyFont="1" applyFill="1" applyBorder="1" applyAlignment="1">
      <alignment horizontal="center" vertical="center"/>
    </xf>
    <xf numFmtId="178" fontId="4" fillId="6" borderId="11" xfId="0" applyNumberFormat="1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178" fontId="10" fillId="6" borderId="14" xfId="0" applyNumberFormat="1" applyFont="1" applyFill="1" applyBorder="1" applyAlignment="1">
      <alignment horizontal="center" vertical="center"/>
    </xf>
    <xf numFmtId="178" fontId="4" fillId="6" borderId="14" xfId="0" applyNumberFormat="1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180" fontId="4" fillId="0" borderId="20" xfId="0" applyNumberFormat="1" applyFont="1" applyFill="1" applyBorder="1" applyAlignment="1">
      <alignment horizontal="center" vertical="center"/>
    </xf>
    <xf numFmtId="0" fontId="19" fillId="4" borderId="22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180" fontId="4" fillId="0" borderId="23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 wrapText="1"/>
    </xf>
    <xf numFmtId="180" fontId="4" fillId="0" borderId="24" xfId="0" applyNumberFormat="1" applyFont="1" applyFill="1" applyBorder="1" applyAlignment="1">
      <alignment horizontal="center" vertical="center"/>
    </xf>
    <xf numFmtId="0" fontId="0" fillId="0" borderId="0" xfId="0" applyFont="1" applyFill="1" applyAlignment="1"/>
    <xf numFmtId="180" fontId="4" fillId="0" borderId="25" xfId="0" applyNumberFormat="1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/>
    </xf>
    <xf numFmtId="180" fontId="4" fillId="0" borderId="26" xfId="0" applyNumberFormat="1" applyFont="1" applyFill="1" applyBorder="1" applyAlignment="1">
      <alignment horizontal="center" vertical="center"/>
    </xf>
    <xf numFmtId="180" fontId="4" fillId="0" borderId="27" xfId="0" applyNumberFormat="1" applyFont="1" applyFill="1" applyBorder="1" applyAlignment="1">
      <alignment horizontal="center" vertical="center"/>
    </xf>
    <xf numFmtId="0" fontId="20" fillId="4" borderId="11" xfId="0" applyFont="1" applyFill="1" applyBorder="1" applyAlignment="1">
      <alignment horizontal="center" vertical="center"/>
    </xf>
    <xf numFmtId="0" fontId="20" fillId="4" borderId="20" xfId="0" applyFont="1" applyFill="1" applyBorder="1" applyAlignment="1">
      <alignment horizontal="center" vertical="center"/>
    </xf>
    <xf numFmtId="180" fontId="4" fillId="0" borderId="28" xfId="0" applyNumberFormat="1" applyFont="1" applyFill="1" applyBorder="1" applyAlignment="1">
      <alignment horizontal="center" vertical="center"/>
    </xf>
    <xf numFmtId="181" fontId="21" fillId="4" borderId="14" xfId="0" applyNumberFormat="1" applyFont="1" applyFill="1" applyBorder="1" applyAlignment="1">
      <alignment horizontal="center" vertical="center"/>
    </xf>
    <xf numFmtId="181" fontId="21" fillId="6" borderId="11" xfId="0" applyNumberFormat="1" applyFont="1" applyFill="1" applyBorder="1" applyAlignment="1">
      <alignment horizontal="center" vertical="center"/>
    </xf>
    <xf numFmtId="180" fontId="4" fillId="6" borderId="25" xfId="0" applyNumberFormat="1" applyFont="1" applyFill="1" applyBorder="1" applyAlignment="1">
      <alignment horizontal="center" vertical="center"/>
    </xf>
    <xf numFmtId="181" fontId="21" fillId="6" borderId="14" xfId="0" applyNumberFormat="1" applyFont="1" applyFill="1" applyBorder="1" applyAlignment="1">
      <alignment horizontal="center" vertical="center"/>
    </xf>
    <xf numFmtId="180" fontId="4" fillId="6" borderId="26" xfId="0" applyNumberFormat="1" applyFont="1" applyFill="1" applyBorder="1" applyAlignment="1">
      <alignment horizontal="center" vertical="center"/>
    </xf>
    <xf numFmtId="0" fontId="7" fillId="0" borderId="0" xfId="0" applyFont="1" applyFill="1" applyAlignment="1"/>
    <xf numFmtId="0" fontId="1" fillId="4" borderId="29" xfId="0" applyFont="1" applyFill="1" applyBorder="1" applyAlignment="1">
      <alignment vertical="center"/>
    </xf>
    <xf numFmtId="0" fontId="4" fillId="0" borderId="7" xfId="0" applyFont="1" applyFill="1" applyBorder="1" applyAlignment="1" quotePrefix="1">
      <alignment horizontal="left" vertical="center"/>
    </xf>
    <xf numFmtId="0" fontId="0" fillId="0" borderId="8" xfId="0" applyFill="1" applyBorder="1" applyAlignment="1" quotePrefix="1">
      <alignment horizontal="center" vertical="center"/>
    </xf>
    <xf numFmtId="0" fontId="4" fillId="0" borderId="8" xfId="0" applyFont="1" applyFill="1" applyBorder="1" applyAlignment="1" quotePrefix="1">
      <alignment horizontal="center" vertical="center"/>
    </xf>
    <xf numFmtId="0" fontId="5" fillId="0" borderId="8" xfId="0" applyFont="1" applyFill="1" applyBorder="1" applyAlignment="1" quotePrefix="1">
      <alignment horizontal="center" vertical="center"/>
    </xf>
    <xf numFmtId="0" fontId="5" fillId="4" borderId="8" xfId="0" applyFont="1" applyFill="1" applyBorder="1" applyAlignment="1" quotePrefix="1">
      <alignment horizontal="center" vertical="center"/>
    </xf>
    <xf numFmtId="0" fontId="4" fillId="0" borderId="10" xfId="0" applyFont="1" applyFill="1" applyBorder="1" applyAlignment="1" quotePrefix="1">
      <alignment horizontal="left" vertical="center"/>
    </xf>
    <xf numFmtId="0" fontId="0" fillId="0" borderId="11" xfId="0" applyFill="1" applyBorder="1" applyAlignment="1" quotePrefix="1">
      <alignment horizontal="center" vertical="center"/>
    </xf>
    <xf numFmtId="0" fontId="4" fillId="0" borderId="11" xfId="0" applyFont="1" applyFill="1" applyBorder="1" applyAlignment="1" quotePrefix="1">
      <alignment horizontal="center" vertical="center"/>
    </xf>
    <xf numFmtId="0" fontId="5" fillId="0" borderId="11" xfId="0" applyFont="1" applyFill="1" applyBorder="1" applyAlignment="1" quotePrefix="1">
      <alignment horizontal="center" vertical="center"/>
    </xf>
    <xf numFmtId="0" fontId="5" fillId="4" borderId="11" xfId="0" applyFont="1" applyFill="1" applyBorder="1" applyAlignment="1" quotePrefix="1">
      <alignment horizontal="center" vertical="center"/>
    </xf>
    <xf numFmtId="0" fontId="4" fillId="4" borderId="11" xfId="0" applyFont="1" applyFill="1" applyBorder="1" applyAlignment="1" quotePrefix="1">
      <alignment horizontal="center" vertical="center"/>
    </xf>
    <xf numFmtId="0" fontId="14" fillId="0" borderId="11" xfId="7" applyFont="1" applyBorder="1" applyAlignment="1" quotePrefix="1">
      <alignment horizontal="center" vertical="center"/>
    </xf>
    <xf numFmtId="0" fontId="4" fillId="0" borderId="13" xfId="0" applyFont="1" applyFill="1" applyBorder="1" applyAlignment="1" quotePrefix="1">
      <alignment horizontal="left" vertical="center"/>
    </xf>
    <xf numFmtId="0" fontId="0" fillId="0" borderId="14" xfId="0" applyFill="1" applyBorder="1" applyAlignment="1" quotePrefix="1">
      <alignment horizontal="center" vertical="center"/>
    </xf>
    <xf numFmtId="0" fontId="4" fillId="0" borderId="14" xfId="0" applyFont="1" applyFill="1" applyBorder="1" applyAlignment="1" quotePrefix="1">
      <alignment horizontal="center" vertical="center"/>
    </xf>
    <xf numFmtId="0" fontId="5" fillId="0" borderId="14" xfId="0" applyFont="1" applyFill="1" applyBorder="1" applyAlignment="1" quotePrefix="1">
      <alignment horizontal="center" vertical="center"/>
    </xf>
    <xf numFmtId="0" fontId="4" fillId="4" borderId="14" xfId="0" applyFont="1" applyFill="1" applyBorder="1" applyAlignment="1" quotePrefix="1">
      <alignment horizontal="center" vertical="center"/>
    </xf>
    <xf numFmtId="0" fontId="14" fillId="0" borderId="14" xfId="7" applyFont="1" applyBorder="1" applyAlignment="1" quotePrefix="1">
      <alignment horizontal="center" vertical="center"/>
    </xf>
    <xf numFmtId="0" fontId="4" fillId="0" borderId="15" xfId="0" applyFont="1" applyFill="1" applyBorder="1" applyAlignment="1" quotePrefix="1">
      <alignment horizontal="left" vertical="center"/>
    </xf>
    <xf numFmtId="0" fontId="0" fillId="0" borderId="16" xfId="0" applyFill="1" applyBorder="1" applyAlignment="1" quotePrefix="1">
      <alignment horizontal="center" vertical="center"/>
    </xf>
    <xf numFmtId="0" fontId="4" fillId="0" borderId="16" xfId="0" applyFont="1" applyFill="1" applyBorder="1" applyAlignment="1" quotePrefix="1">
      <alignment horizontal="center" vertical="center"/>
    </xf>
    <xf numFmtId="0" fontId="5" fillId="0" borderId="16" xfId="0" applyFont="1" applyFill="1" applyBorder="1" applyAlignment="1" quotePrefix="1">
      <alignment horizontal="center" vertical="center"/>
    </xf>
    <xf numFmtId="0" fontId="4" fillId="4" borderId="16" xfId="0" applyFont="1" applyFill="1" applyBorder="1" applyAlignment="1" quotePrefix="1">
      <alignment horizontal="center" vertical="center"/>
    </xf>
    <xf numFmtId="0" fontId="14" fillId="0" borderId="16" xfId="7" applyFont="1" applyBorder="1" applyAlignment="1" quotePrefix="1">
      <alignment horizontal="center" vertical="center"/>
    </xf>
    <xf numFmtId="0" fontId="4" fillId="4" borderId="8" xfId="0" applyFont="1" applyFill="1" applyBorder="1" applyAlignment="1" quotePrefix="1">
      <alignment horizontal="center" vertical="center"/>
    </xf>
    <xf numFmtId="0" fontId="14" fillId="0" borderId="8" xfId="7" applyFont="1" applyBorder="1" applyAlignment="1" quotePrefix="1">
      <alignment horizontal="center" vertical="center"/>
    </xf>
    <xf numFmtId="0" fontId="14" fillId="4" borderId="11" xfId="7" applyFont="1" applyFill="1" applyBorder="1" applyAlignment="1" quotePrefix="1">
      <alignment horizontal="center" vertical="center"/>
    </xf>
    <xf numFmtId="0" fontId="4" fillId="4" borderId="15" xfId="0" applyFont="1" applyFill="1" applyBorder="1" applyAlignment="1" quotePrefix="1">
      <alignment horizontal="left" vertical="center"/>
    </xf>
    <xf numFmtId="0" fontId="0" fillId="4" borderId="16" xfId="0" applyFill="1" applyBorder="1" applyAlignment="1" quotePrefix="1">
      <alignment horizontal="center" vertical="center"/>
    </xf>
    <xf numFmtId="0" fontId="5" fillId="4" borderId="16" xfId="0" applyFont="1" applyFill="1" applyBorder="1" applyAlignment="1" quotePrefix="1">
      <alignment horizontal="center" vertical="center"/>
    </xf>
    <xf numFmtId="0" fontId="4" fillId="4" borderId="7" xfId="0" applyFont="1" applyFill="1" applyBorder="1" applyAlignment="1" quotePrefix="1">
      <alignment horizontal="left" vertical="center"/>
    </xf>
    <xf numFmtId="0" fontId="7" fillId="4" borderId="8" xfId="0" applyFont="1" applyFill="1" applyBorder="1" applyAlignment="1" quotePrefix="1">
      <alignment horizontal="center" vertical="center"/>
    </xf>
    <xf numFmtId="0" fontId="4" fillId="4" borderId="10" xfId="0" applyFont="1" applyFill="1" applyBorder="1" applyAlignment="1" quotePrefix="1">
      <alignment horizontal="left" vertical="center"/>
    </xf>
    <xf numFmtId="0" fontId="7" fillId="4" borderId="11" xfId="0" applyFont="1" applyFill="1" applyBorder="1" applyAlignment="1" quotePrefix="1">
      <alignment horizontal="center" vertical="center"/>
    </xf>
    <xf numFmtId="0" fontId="5" fillId="4" borderId="14" xfId="0" applyFont="1" applyFill="1" applyBorder="1" applyAlignment="1" quotePrefix="1">
      <alignment horizontal="center" vertical="center"/>
    </xf>
    <xf numFmtId="0" fontId="4" fillId="4" borderId="19" xfId="0" applyFont="1" applyFill="1" applyBorder="1" applyAlignment="1" quotePrefix="1">
      <alignment horizontal="left" vertical="center"/>
    </xf>
    <xf numFmtId="0" fontId="0" fillId="4" borderId="20" xfId="0" applyFill="1" applyBorder="1" applyAlignment="1" quotePrefix="1">
      <alignment horizontal="center" vertical="center"/>
    </xf>
    <xf numFmtId="0" fontId="4" fillId="4" borderId="20" xfId="0" applyFont="1" applyFill="1" applyBorder="1" applyAlignment="1" quotePrefix="1">
      <alignment horizontal="center" vertical="center"/>
    </xf>
    <xf numFmtId="0" fontId="4" fillId="4" borderId="13" xfId="0" applyFont="1" applyFill="1" applyBorder="1" applyAlignment="1" quotePrefix="1">
      <alignment horizontal="left" vertical="center"/>
    </xf>
    <xf numFmtId="0" fontId="0" fillId="4" borderId="14" xfId="0" applyFill="1" applyBorder="1" applyAlignment="1" quotePrefix="1">
      <alignment horizontal="center" vertical="center"/>
    </xf>
    <xf numFmtId="0" fontId="14" fillId="4" borderId="14" xfId="7" applyFont="1" applyFill="1" applyBorder="1" applyAlignment="1" quotePrefix="1">
      <alignment horizontal="center" vertical="center"/>
    </xf>
    <xf numFmtId="0" fontId="10" fillId="6" borderId="10" xfId="0" applyFont="1" applyFill="1" applyBorder="1" applyAlignment="1" quotePrefix="1">
      <alignment horizontal="left" vertical="center"/>
    </xf>
    <xf numFmtId="0" fontId="10" fillId="6" borderId="11" xfId="0" applyFont="1" applyFill="1" applyBorder="1" applyAlignment="1" quotePrefix="1">
      <alignment horizontal="center" vertical="center"/>
    </xf>
    <xf numFmtId="0" fontId="10" fillId="6" borderId="13" xfId="0" applyFont="1" applyFill="1" applyBorder="1" applyAlignment="1" quotePrefix="1">
      <alignment horizontal="left" vertical="center"/>
    </xf>
    <xf numFmtId="0" fontId="10" fillId="6" borderId="14" xfId="0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Chip-Resistor-Surface-Mount_YAGEO-RC0603FR-0733RL_C108661.html" TargetMode="External"/><Relationship Id="rId8" Type="http://schemas.openxmlformats.org/officeDocument/2006/relationships/hyperlink" Target="https://www.lcsc.com/product-detail/Chip-Resistor-Surface-Mount_YAGEO-RC0603JR-07330RL_C105879.html" TargetMode="External"/><Relationship Id="rId7" Type="http://schemas.openxmlformats.org/officeDocument/2006/relationships/hyperlink" Target="https://www.lcsc.com/product-detail/Chip-Resistor-Surface-Mount_YAGEO-AC0603JR-0710KL_C140867.html" TargetMode="External"/><Relationship Id="rId6" Type="http://schemas.openxmlformats.org/officeDocument/2006/relationships/hyperlink" Target="https://www.lcsc.com/product-detail/Inductors-SMD_microgate-MGFL2012F100MT-LF_C281113.html" TargetMode="External"/><Relationship Id="rId5" Type="http://schemas.openxmlformats.org/officeDocument/2006/relationships/hyperlink" Target="https://www.lcsc.com/product-detail/Ferrite-Beads_Meled-MLB1608-201P1A-f_C45316.html" TargetMode="External"/><Relationship Id="rId4" Type="http://schemas.openxmlformats.org/officeDocument/2006/relationships/hyperlink" Target="https://www.lcsc.com/product-detail/Light-Emitting-Diodes-LED_Everlight-Elec-16-213-GHC-YR1S1-3T_C74338.html" TargetMode="External"/><Relationship Id="rId3" Type="http://schemas.openxmlformats.org/officeDocument/2006/relationships/hyperlink" Target="https://www.lcsc.com/product-detail/Multilayer-Ceramic-Capacitors-MLCC-SMD-SMT_Murata-Electronics-GRM21BR61H106KE43L_C440198.html" TargetMode="External"/><Relationship Id="rId2" Type="http://schemas.openxmlformats.org/officeDocument/2006/relationships/hyperlink" Target="https://www.lcsc.com/product-detail/Multilayer-Ceramic-Capacitors-MLCC-SMD-SMT_YAGEO-CC0603KRX7R0BB104_C113803.html" TargetMode="External"/><Relationship Id="rId19" Type="http://schemas.openxmlformats.org/officeDocument/2006/relationships/hyperlink" Target="https://www.lcsc.com/product-detail/Buffers-Drivers_Texas-Instruments-SN75453BDR_C7070.html" TargetMode="External"/><Relationship Id="rId18" Type="http://schemas.openxmlformats.org/officeDocument/2006/relationships/hyperlink" Target="https://tr.aliexpress.com/item/32814431059.html" TargetMode="External"/><Relationship Id="rId17" Type="http://schemas.openxmlformats.org/officeDocument/2006/relationships/hyperlink" Target="https://tr.aliexpress.com/i/32749664506.html?gatewayAdapt=glo2tur" TargetMode="External"/><Relationship Id="rId16" Type="http://schemas.openxmlformats.org/officeDocument/2006/relationships/hyperlink" Target="https://www.alibaba.com/product-detail/New-Original-TLE5012BE1000-EVAL-TLE5012B-ANGLE_1600334667239.html?spm=a2700.galleryofferlist.normal_offer.d_title.1fbd51e8YVKN6t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14" Type="http://schemas.openxmlformats.org/officeDocument/2006/relationships/hyperlink" Target="https://www.lcsc.com/product-detail/Multilayer-Ceramic-Capacitors-MLCC-SMD-SMT_TDK-C1608X5R1E475KT000E_C76615.html" TargetMode="External"/><Relationship Id="rId13" Type="http://schemas.openxmlformats.org/officeDocument/2006/relationships/hyperlink" Target="https://www.lcsc.com/product-detail/EEPROM_onsemi-CAT24C256WI-GT3_C79987.html" TargetMode="External"/><Relationship Id="rId12" Type="http://schemas.openxmlformats.org/officeDocument/2006/relationships/hyperlink" Target="https://www.utsource.net/itm/p/9456640.html?digipart=1" TargetMode="External"/><Relationship Id="rId11" Type="http://schemas.openxmlformats.org/officeDocument/2006/relationships/hyperlink" Target="https://www.lcsc.com/product-detail/Chip-Resistor-Surface-Mount_YAGEO-RT0603CRD0712K1L_C705893.html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" Type="http://schemas.openxmlformats.org/officeDocument/2006/relationships/hyperlink" Target="https://www.lcsc.com/product-detail/old-batch_Murata-Electronics-GCM21BC72A105KE36L_C284283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43"/>
  <sheetViews>
    <sheetView tabSelected="1" topLeftCell="F1" workbookViewId="0">
      <selection activeCell="S19" sqref="S19"/>
    </sheetView>
  </sheetViews>
  <sheetFormatPr defaultColWidth="9" defaultRowHeight="15"/>
  <cols>
    <col min="1" max="1" width="6.14285714285714" style="2" customWidth="1"/>
    <col min="2" max="2" width="14.4285714285714" style="1" customWidth="1"/>
    <col min="3" max="3" width="47.5714285714286" style="1" customWidth="1"/>
    <col min="4" max="4" width="33.1428571428571" style="1" customWidth="1"/>
    <col min="5" max="5" width="21" style="1" customWidth="1"/>
    <col min="6" max="6" width="29" style="1" customWidth="1"/>
    <col min="7" max="7" width="19.1428571428571" style="1" customWidth="1"/>
    <col min="8" max="8" width="14.4285714285714" style="2" customWidth="1"/>
    <col min="9" max="9" width="21.5714285714286" style="1" customWidth="1"/>
    <col min="10" max="10" width="7" style="1" customWidth="1"/>
    <col min="11" max="11" width="11.5714285714286" style="1" customWidth="1"/>
    <col min="12" max="12" width="21.8571428571429" style="1" customWidth="1"/>
    <col min="13" max="13" width="14.1428571428571" style="1" customWidth="1"/>
    <col min="14" max="14" width="10.2857142857143" style="1" customWidth="1"/>
    <col min="15" max="15" width="12.7142857142857" style="1" customWidth="1"/>
    <col min="16" max="16" width="13.4285714285714" style="1" customWidth="1"/>
    <col min="17" max="17" width="14.1428571428571" style="1" customWidth="1"/>
    <col min="18" max="18" width="26.5714285714286" style="1" customWidth="1"/>
    <col min="19" max="16384" width="9" style="1"/>
  </cols>
  <sheetData>
    <row r="1" s="1" customFormat="1" ht="16.5" spans="1:34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37"/>
    </row>
    <row r="2" s="1" customFormat="1" ht="32.25" spans="1:18">
      <c r="A2" s="5" t="s">
        <v>1</v>
      </c>
      <c r="B2" s="6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67" t="s">
        <v>14</v>
      </c>
      <c r="O2" s="68" t="s">
        <v>15</v>
      </c>
      <c r="P2" s="69" t="s">
        <v>16</v>
      </c>
      <c r="Q2" s="7" t="s">
        <v>17</v>
      </c>
      <c r="R2" s="121" t="s">
        <v>18</v>
      </c>
    </row>
    <row r="3" s="1" customFormat="1" ht="15.75" spans="1:19">
      <c r="A3" s="8">
        <v>1</v>
      </c>
      <c r="B3" s="9" t="s">
        <v>19</v>
      </c>
      <c r="C3" s="138" t="s">
        <v>20</v>
      </c>
      <c r="D3" s="139" t="s">
        <v>21</v>
      </c>
      <c r="E3" s="140" t="s">
        <v>22</v>
      </c>
      <c r="F3" s="140" t="s">
        <v>23</v>
      </c>
      <c r="G3" s="141" t="s">
        <v>24</v>
      </c>
      <c r="H3" s="14" t="s">
        <v>25</v>
      </c>
      <c r="I3" s="142" t="s">
        <v>26</v>
      </c>
      <c r="J3" s="140" t="s">
        <v>27</v>
      </c>
      <c r="K3" s="12">
        <v>1620</v>
      </c>
      <c r="L3" s="12">
        <v>4</v>
      </c>
      <c r="M3" s="12">
        <f t="shared" ref="M3:M16" si="0">L3*400</f>
        <v>1600</v>
      </c>
      <c r="N3" s="70" t="s">
        <v>28</v>
      </c>
      <c r="O3" s="71">
        <v>0.0682</v>
      </c>
      <c r="P3" s="72">
        <f>O3*K3</f>
        <v>110.484</v>
      </c>
      <c r="Q3" s="12"/>
      <c r="R3" s="122"/>
      <c r="S3" s="123"/>
    </row>
    <row r="4" s="1" customFormat="1" ht="15.75" spans="1:19">
      <c r="A4" s="8">
        <v>2</v>
      </c>
      <c r="B4" s="15"/>
      <c r="C4" s="143" t="s">
        <v>29</v>
      </c>
      <c r="D4" s="144" t="s">
        <v>30</v>
      </c>
      <c r="E4" s="145" t="s">
        <v>31</v>
      </c>
      <c r="F4" s="145" t="s">
        <v>32</v>
      </c>
      <c r="G4" s="146" t="s">
        <v>33</v>
      </c>
      <c r="H4" s="20" t="s">
        <v>34</v>
      </c>
      <c r="I4" s="147" t="s">
        <v>26</v>
      </c>
      <c r="J4" s="145" t="s">
        <v>35</v>
      </c>
      <c r="K4" s="18">
        <v>8850</v>
      </c>
      <c r="L4" s="18">
        <v>22</v>
      </c>
      <c r="M4" s="18">
        <f t="shared" si="0"/>
        <v>8800</v>
      </c>
      <c r="N4" s="73" t="s">
        <v>28</v>
      </c>
      <c r="O4" s="74">
        <v>0.0047</v>
      </c>
      <c r="P4" s="75">
        <f t="shared" ref="P4:P26" si="1">O4*K4</f>
        <v>41.595</v>
      </c>
      <c r="Q4" s="18"/>
      <c r="R4" s="124"/>
      <c r="S4" s="123"/>
    </row>
    <row r="5" s="1" customFormat="1" ht="15.75" spans="1:19">
      <c r="A5" s="8">
        <v>3</v>
      </c>
      <c r="B5" s="15"/>
      <c r="C5" s="143" t="s">
        <v>36</v>
      </c>
      <c r="D5" s="144" t="s">
        <v>37</v>
      </c>
      <c r="E5" s="145" t="s">
        <v>22</v>
      </c>
      <c r="F5" s="145" t="s">
        <v>38</v>
      </c>
      <c r="G5" s="146" t="s">
        <v>24</v>
      </c>
      <c r="H5" s="20" t="s">
        <v>39</v>
      </c>
      <c r="I5" s="148" t="s">
        <v>40</v>
      </c>
      <c r="J5" s="145" t="s">
        <v>41</v>
      </c>
      <c r="K5" s="18">
        <v>420</v>
      </c>
      <c r="L5" s="18">
        <v>1</v>
      </c>
      <c r="M5" s="18">
        <f t="shared" si="0"/>
        <v>400</v>
      </c>
      <c r="N5" s="73" t="s">
        <v>28</v>
      </c>
      <c r="O5" s="74">
        <v>0.087</v>
      </c>
      <c r="P5" s="75">
        <f t="shared" si="1"/>
        <v>36.54</v>
      </c>
      <c r="Q5" s="18"/>
      <c r="R5" s="124"/>
      <c r="S5" s="123"/>
    </row>
    <row r="6" s="1" customFormat="1" ht="15.75" spans="1:19">
      <c r="A6" s="8">
        <v>4</v>
      </c>
      <c r="B6" s="15"/>
      <c r="C6" s="143" t="s">
        <v>42</v>
      </c>
      <c r="D6" s="144" t="s">
        <v>43</v>
      </c>
      <c r="E6" s="145" t="s">
        <v>31</v>
      </c>
      <c r="F6" s="145" t="s">
        <v>44</v>
      </c>
      <c r="G6" s="146" t="s">
        <v>45</v>
      </c>
      <c r="H6" s="20" t="s">
        <v>46</v>
      </c>
      <c r="I6" s="148" t="s">
        <v>47</v>
      </c>
      <c r="J6" s="145" t="s">
        <v>48</v>
      </c>
      <c r="K6" s="18">
        <v>1220</v>
      </c>
      <c r="L6" s="18">
        <v>3</v>
      </c>
      <c r="M6" s="18">
        <f t="shared" si="0"/>
        <v>1200</v>
      </c>
      <c r="N6" s="149" t="s">
        <v>28</v>
      </c>
      <c r="O6" s="77">
        <v>0.0231</v>
      </c>
      <c r="P6" s="75">
        <f t="shared" si="1"/>
        <v>28.182</v>
      </c>
      <c r="Q6" s="18"/>
      <c r="R6" s="124"/>
      <c r="S6" s="123"/>
    </row>
    <row r="7" s="1" customFormat="1" ht="15.75" spans="1:19">
      <c r="A7" s="8">
        <v>5</v>
      </c>
      <c r="B7" s="21"/>
      <c r="C7" s="150" t="s">
        <v>49</v>
      </c>
      <c r="D7" s="151" t="s">
        <v>50</v>
      </c>
      <c r="E7" s="152" t="s">
        <v>31</v>
      </c>
      <c r="F7" s="152" t="s">
        <v>51</v>
      </c>
      <c r="G7" s="153" t="s">
        <v>52</v>
      </c>
      <c r="H7" s="26" t="s">
        <v>53</v>
      </c>
      <c r="I7" s="154" t="s">
        <v>54</v>
      </c>
      <c r="J7" s="152" t="s">
        <v>55</v>
      </c>
      <c r="K7" s="24">
        <v>1650</v>
      </c>
      <c r="L7" s="24">
        <v>4</v>
      </c>
      <c r="M7" s="24">
        <f t="shared" si="0"/>
        <v>1600</v>
      </c>
      <c r="N7" s="155" t="s">
        <v>28</v>
      </c>
      <c r="O7" s="79">
        <v>0.0024</v>
      </c>
      <c r="P7" s="80">
        <f t="shared" si="1"/>
        <v>3.96</v>
      </c>
      <c r="Q7" s="125"/>
      <c r="R7" s="126"/>
      <c r="S7" s="123"/>
    </row>
    <row r="8" s="1" customFormat="1" ht="15.75" spans="1:19">
      <c r="A8" s="8">
        <v>17</v>
      </c>
      <c r="B8" s="27" t="s">
        <v>56</v>
      </c>
      <c r="C8" s="156" t="s">
        <v>57</v>
      </c>
      <c r="D8" s="157" t="s">
        <v>58</v>
      </c>
      <c r="E8" s="158" t="s">
        <v>59</v>
      </c>
      <c r="F8" s="158" t="s">
        <v>60</v>
      </c>
      <c r="G8" s="159" t="s">
        <v>61</v>
      </c>
      <c r="H8" s="32" t="s">
        <v>62</v>
      </c>
      <c r="I8" s="160" t="s">
        <v>26</v>
      </c>
      <c r="J8" s="159" t="s">
        <v>63</v>
      </c>
      <c r="K8" s="31">
        <v>850</v>
      </c>
      <c r="L8" s="30">
        <v>2</v>
      </c>
      <c r="M8" s="30">
        <f t="shared" si="0"/>
        <v>800</v>
      </c>
      <c r="N8" s="161" t="s">
        <v>28</v>
      </c>
      <c r="O8" s="82">
        <v>0.0484</v>
      </c>
      <c r="P8" s="83">
        <f t="shared" si="1"/>
        <v>41.14</v>
      </c>
      <c r="Q8" s="30"/>
      <c r="R8" s="127"/>
      <c r="S8" s="123"/>
    </row>
    <row r="9" s="1" customFormat="1" ht="15.75" spans="1:19">
      <c r="A9" s="8">
        <v>18</v>
      </c>
      <c r="B9" s="9" t="s">
        <v>64</v>
      </c>
      <c r="C9" s="138" t="s">
        <v>65</v>
      </c>
      <c r="D9" s="139" t="s">
        <v>66</v>
      </c>
      <c r="E9" s="140" t="s">
        <v>67</v>
      </c>
      <c r="F9" s="140" t="s">
        <v>68</v>
      </c>
      <c r="G9" s="141" t="s">
        <v>69</v>
      </c>
      <c r="H9" s="14" t="s">
        <v>70</v>
      </c>
      <c r="I9" s="162" t="s">
        <v>26</v>
      </c>
      <c r="J9" s="141" t="s">
        <v>63</v>
      </c>
      <c r="K9" s="13">
        <v>2100</v>
      </c>
      <c r="L9" s="12">
        <v>5</v>
      </c>
      <c r="M9" s="12">
        <f t="shared" si="0"/>
        <v>2000</v>
      </c>
      <c r="N9" s="70" t="s">
        <v>28</v>
      </c>
      <c r="O9" s="71">
        <v>0.0052</v>
      </c>
      <c r="P9" s="72">
        <f t="shared" si="1"/>
        <v>10.92</v>
      </c>
      <c r="Q9" s="12"/>
      <c r="R9" s="122"/>
      <c r="S9" s="123"/>
    </row>
    <row r="10" s="1" customFormat="1" ht="15.75" spans="1:19">
      <c r="A10" s="8">
        <v>19</v>
      </c>
      <c r="B10" s="21"/>
      <c r="C10" s="150" t="s">
        <v>71</v>
      </c>
      <c r="D10" s="151" t="s">
        <v>72</v>
      </c>
      <c r="E10" s="152" t="s">
        <v>73</v>
      </c>
      <c r="F10" s="152" t="s">
        <v>74</v>
      </c>
      <c r="G10" s="153" t="s">
        <v>75</v>
      </c>
      <c r="H10" s="26" t="s">
        <v>76</v>
      </c>
      <c r="I10" s="154" t="s">
        <v>26</v>
      </c>
      <c r="J10" s="153" t="s">
        <v>63</v>
      </c>
      <c r="K10" s="25">
        <v>420</v>
      </c>
      <c r="L10" s="24">
        <v>1</v>
      </c>
      <c r="M10" s="24">
        <f t="shared" si="0"/>
        <v>400</v>
      </c>
      <c r="N10" s="84" t="s">
        <v>28</v>
      </c>
      <c r="O10" s="85">
        <v>0.0379</v>
      </c>
      <c r="P10" s="80">
        <f t="shared" si="1"/>
        <v>15.918</v>
      </c>
      <c r="Q10" s="24"/>
      <c r="R10" s="126"/>
      <c r="S10" s="123"/>
    </row>
    <row r="11" s="1" customFormat="1" ht="15.75" spans="1:19">
      <c r="A11" s="8">
        <v>21</v>
      </c>
      <c r="B11" s="9" t="s">
        <v>77</v>
      </c>
      <c r="C11" s="138" t="s">
        <v>78</v>
      </c>
      <c r="D11" s="139" t="s">
        <v>79</v>
      </c>
      <c r="E11" s="140" t="s">
        <v>80</v>
      </c>
      <c r="F11" s="140" t="s">
        <v>81</v>
      </c>
      <c r="G11" s="141" t="s">
        <v>33</v>
      </c>
      <c r="H11" s="14" t="s">
        <v>82</v>
      </c>
      <c r="I11" s="162" t="s">
        <v>26</v>
      </c>
      <c r="J11" s="140" t="s">
        <v>83</v>
      </c>
      <c r="K11" s="39">
        <v>4900</v>
      </c>
      <c r="L11" s="12">
        <v>12</v>
      </c>
      <c r="M11" s="12">
        <f t="shared" si="0"/>
        <v>4800</v>
      </c>
      <c r="N11" s="163" t="s">
        <v>28</v>
      </c>
      <c r="O11" s="71">
        <v>0.0011</v>
      </c>
      <c r="P11" s="72">
        <f t="shared" si="1"/>
        <v>5.39</v>
      </c>
      <c r="Q11" s="12"/>
      <c r="R11" s="122"/>
      <c r="S11" s="123"/>
    </row>
    <row r="12" s="1" customFormat="1" ht="15.75" spans="1:19">
      <c r="A12" s="8">
        <v>22</v>
      </c>
      <c r="B12" s="15"/>
      <c r="C12" s="143" t="s">
        <v>84</v>
      </c>
      <c r="D12" s="144" t="s">
        <v>85</v>
      </c>
      <c r="E12" s="145" t="s">
        <v>80</v>
      </c>
      <c r="F12" s="145" t="s">
        <v>86</v>
      </c>
      <c r="G12" s="146" t="s">
        <v>33</v>
      </c>
      <c r="H12" s="20" t="s">
        <v>87</v>
      </c>
      <c r="I12" s="148" t="s">
        <v>26</v>
      </c>
      <c r="J12" s="145" t="s">
        <v>88</v>
      </c>
      <c r="K12" s="43">
        <v>1300</v>
      </c>
      <c r="L12" s="18">
        <v>3</v>
      </c>
      <c r="M12" s="18">
        <f t="shared" si="0"/>
        <v>1200</v>
      </c>
      <c r="N12" s="149" t="s">
        <v>28</v>
      </c>
      <c r="O12" s="74">
        <v>0.0011</v>
      </c>
      <c r="P12" s="75">
        <f t="shared" si="1"/>
        <v>1.43</v>
      </c>
      <c r="Q12" s="18"/>
      <c r="R12" s="124"/>
      <c r="S12" s="123"/>
    </row>
    <row r="13" s="1" customFormat="1" ht="15.75" spans="1:19">
      <c r="A13" s="8">
        <v>23</v>
      </c>
      <c r="B13" s="15"/>
      <c r="C13" s="143" t="s">
        <v>89</v>
      </c>
      <c r="D13" s="144" t="s">
        <v>90</v>
      </c>
      <c r="E13" s="145" t="s">
        <v>80</v>
      </c>
      <c r="F13" s="145" t="s">
        <v>91</v>
      </c>
      <c r="G13" s="146" t="s">
        <v>33</v>
      </c>
      <c r="H13" s="20" t="s">
        <v>92</v>
      </c>
      <c r="I13" s="148" t="s">
        <v>26</v>
      </c>
      <c r="J13" s="145" t="s">
        <v>93</v>
      </c>
      <c r="K13" s="43">
        <v>500</v>
      </c>
      <c r="L13" s="18">
        <v>1</v>
      </c>
      <c r="M13" s="18">
        <f t="shared" si="0"/>
        <v>400</v>
      </c>
      <c r="N13" s="164" t="s">
        <v>28</v>
      </c>
      <c r="O13" s="88">
        <v>0.0012</v>
      </c>
      <c r="P13" s="75">
        <f t="shared" si="1"/>
        <v>0.6</v>
      </c>
      <c r="Q13" s="43"/>
      <c r="R13" s="124"/>
      <c r="S13" s="123"/>
    </row>
    <row r="14" s="1" customFormat="1" ht="15.75" spans="1:19">
      <c r="A14" s="8">
        <v>24</v>
      </c>
      <c r="B14" s="15"/>
      <c r="C14" s="143" t="s">
        <v>94</v>
      </c>
      <c r="D14" s="144" t="s">
        <v>95</v>
      </c>
      <c r="E14" s="145" t="s">
        <v>80</v>
      </c>
      <c r="F14" s="145" t="s">
        <v>96</v>
      </c>
      <c r="G14" s="146" t="s">
        <v>33</v>
      </c>
      <c r="H14" s="20" t="s">
        <v>97</v>
      </c>
      <c r="I14" s="148" t="s">
        <v>26</v>
      </c>
      <c r="J14" s="145" t="s">
        <v>98</v>
      </c>
      <c r="K14" s="43">
        <v>1300</v>
      </c>
      <c r="L14" s="18">
        <v>3</v>
      </c>
      <c r="M14" s="18">
        <f t="shared" si="0"/>
        <v>1200</v>
      </c>
      <c r="N14" s="149" t="s">
        <v>28</v>
      </c>
      <c r="O14" s="74">
        <v>0.001</v>
      </c>
      <c r="P14" s="75">
        <f t="shared" si="1"/>
        <v>1.3</v>
      </c>
      <c r="Q14" s="18"/>
      <c r="R14" s="124"/>
      <c r="S14" s="123"/>
    </row>
    <row r="15" s="1" customFormat="1" ht="15.75" spans="1:19">
      <c r="A15" s="8">
        <v>25</v>
      </c>
      <c r="B15" s="21"/>
      <c r="C15" s="150" t="s">
        <v>99</v>
      </c>
      <c r="D15" s="151" t="s">
        <v>100</v>
      </c>
      <c r="E15" s="152" t="s">
        <v>80</v>
      </c>
      <c r="F15" s="152" t="s">
        <v>101</v>
      </c>
      <c r="G15" s="153" t="s">
        <v>102</v>
      </c>
      <c r="H15" s="26" t="s">
        <v>103</v>
      </c>
      <c r="I15" s="154" t="s">
        <v>26</v>
      </c>
      <c r="J15" s="152" t="s">
        <v>104</v>
      </c>
      <c r="K15" s="24">
        <v>420</v>
      </c>
      <c r="L15" s="24">
        <v>1</v>
      </c>
      <c r="M15" s="24">
        <f t="shared" si="0"/>
        <v>400</v>
      </c>
      <c r="N15" s="155" t="s">
        <v>28</v>
      </c>
      <c r="O15" s="85">
        <v>0.0138</v>
      </c>
      <c r="P15" s="80">
        <f t="shared" si="1"/>
        <v>5.796</v>
      </c>
      <c r="Q15" s="24"/>
      <c r="R15" s="126"/>
      <c r="S15" s="123"/>
    </row>
    <row r="16" s="1" customFormat="1" ht="15.75" spans="1:19">
      <c r="A16" s="8">
        <v>30</v>
      </c>
      <c r="B16" s="27" t="s">
        <v>105</v>
      </c>
      <c r="C16" s="165" t="s">
        <v>106</v>
      </c>
      <c r="D16" s="166" t="s">
        <v>107</v>
      </c>
      <c r="E16" s="160" t="s">
        <v>108</v>
      </c>
      <c r="F16" s="160" t="s">
        <v>109</v>
      </c>
      <c r="G16" s="167" t="s">
        <v>110</v>
      </c>
      <c r="H16" s="167" t="s">
        <v>26</v>
      </c>
      <c r="I16" s="160" t="s">
        <v>26</v>
      </c>
      <c r="J16" s="35"/>
      <c r="K16" s="35">
        <v>420</v>
      </c>
      <c r="L16" s="30">
        <v>1</v>
      </c>
      <c r="M16" s="30">
        <f t="shared" si="0"/>
        <v>400</v>
      </c>
      <c r="N16" s="89" t="s">
        <v>111</v>
      </c>
      <c r="O16" s="82">
        <v>0.49325</v>
      </c>
      <c r="P16" s="83">
        <f t="shared" si="1"/>
        <v>207.165</v>
      </c>
      <c r="Q16" s="30"/>
      <c r="R16" s="127">
        <v>0.441</v>
      </c>
      <c r="S16" s="123"/>
    </row>
    <row r="17" s="1" customFormat="1" ht="15.75" spans="1:19">
      <c r="A17" s="8">
        <v>31</v>
      </c>
      <c r="B17" s="36" t="s">
        <v>112</v>
      </c>
      <c r="C17" s="168" t="s">
        <v>113</v>
      </c>
      <c r="D17" s="169" t="s">
        <v>114</v>
      </c>
      <c r="E17" s="39"/>
      <c r="F17" s="162" t="s">
        <v>115</v>
      </c>
      <c r="G17" s="14"/>
      <c r="H17" s="14"/>
      <c r="I17" s="14"/>
      <c r="J17" s="14"/>
      <c r="K17" s="14"/>
      <c r="L17" s="12">
        <v>1</v>
      </c>
      <c r="M17" s="90">
        <f>L17*900</f>
        <v>900</v>
      </c>
      <c r="N17" s="91" t="s">
        <v>116</v>
      </c>
      <c r="O17" s="92">
        <v>21.26</v>
      </c>
      <c r="P17" s="93">
        <f t="shared" si="1"/>
        <v>0</v>
      </c>
      <c r="Q17" s="39"/>
      <c r="R17" s="122">
        <v>21.26</v>
      </c>
      <c r="S17" s="123"/>
    </row>
    <row r="18" s="1" customFormat="1" ht="15.75" spans="1:19">
      <c r="A18" s="8">
        <v>32</v>
      </c>
      <c r="B18" s="40"/>
      <c r="C18" s="170" t="s">
        <v>117</v>
      </c>
      <c r="D18" s="171" t="s">
        <v>118</v>
      </c>
      <c r="E18" s="148" t="s">
        <v>119</v>
      </c>
      <c r="F18" s="148" t="s">
        <v>120</v>
      </c>
      <c r="G18" s="147" t="s">
        <v>121</v>
      </c>
      <c r="H18" s="20" t="s">
        <v>122</v>
      </c>
      <c r="I18" s="148" t="s">
        <v>26</v>
      </c>
      <c r="J18" s="147" t="s">
        <v>63</v>
      </c>
      <c r="K18" s="20">
        <v>420</v>
      </c>
      <c r="L18" s="18">
        <v>1</v>
      </c>
      <c r="M18" s="18">
        <f t="shared" ref="M18:M26" si="2">L18*400</f>
        <v>400</v>
      </c>
      <c r="N18" s="94" t="s">
        <v>28</v>
      </c>
      <c r="O18" s="88">
        <v>0.2868</v>
      </c>
      <c r="P18" s="95">
        <f t="shared" si="1"/>
        <v>120.456</v>
      </c>
      <c r="Q18" s="43"/>
      <c r="R18" s="124"/>
      <c r="S18" s="123"/>
    </row>
    <row r="19" s="1" customFormat="1" ht="15.75" spans="1:19">
      <c r="A19" s="8">
        <v>34</v>
      </c>
      <c r="B19" s="40"/>
      <c r="C19" s="170" t="s">
        <v>123</v>
      </c>
      <c r="D19" s="171" t="s">
        <v>124</v>
      </c>
      <c r="E19" s="148" t="s">
        <v>119</v>
      </c>
      <c r="F19" s="148" t="s">
        <v>125</v>
      </c>
      <c r="G19" s="147" t="s">
        <v>126</v>
      </c>
      <c r="H19" s="147" t="s">
        <v>26</v>
      </c>
      <c r="I19" s="148" t="s">
        <v>26</v>
      </c>
      <c r="J19" s="147" t="s">
        <v>63</v>
      </c>
      <c r="K19" s="20">
        <v>420</v>
      </c>
      <c r="L19" s="18">
        <v>1</v>
      </c>
      <c r="M19" s="18">
        <f t="shared" si="2"/>
        <v>400</v>
      </c>
      <c r="N19" s="164" t="s">
        <v>127</v>
      </c>
      <c r="O19" s="96">
        <v>5</v>
      </c>
      <c r="P19" s="95">
        <f t="shared" si="1"/>
        <v>2100</v>
      </c>
      <c r="Q19" s="128"/>
      <c r="R19" s="124">
        <v>2.756</v>
      </c>
      <c r="S19" s="123"/>
    </row>
    <row r="20" s="1" customFormat="1" ht="15.75" spans="1:19">
      <c r="A20" s="8">
        <v>35</v>
      </c>
      <c r="B20" s="44"/>
      <c r="C20" s="45" t="s">
        <v>128</v>
      </c>
      <c r="D20" s="154" t="s">
        <v>129</v>
      </c>
      <c r="E20" s="154" t="s">
        <v>130</v>
      </c>
      <c r="F20" s="47" t="s">
        <v>131</v>
      </c>
      <c r="G20" s="154" t="s">
        <v>132</v>
      </c>
      <c r="H20" s="48" t="s">
        <v>133</v>
      </c>
      <c r="I20" s="154" t="s">
        <v>26</v>
      </c>
      <c r="J20" s="172" t="s">
        <v>63</v>
      </c>
      <c r="K20" s="26">
        <v>420</v>
      </c>
      <c r="L20" s="24">
        <v>1</v>
      </c>
      <c r="M20" s="24">
        <f t="shared" si="2"/>
        <v>400</v>
      </c>
      <c r="N20" s="97" t="s">
        <v>28</v>
      </c>
      <c r="O20" s="79">
        <v>0.3607</v>
      </c>
      <c r="P20" s="95">
        <f>O20*K20</f>
        <v>151.494</v>
      </c>
      <c r="Q20" s="46"/>
      <c r="R20" s="126"/>
      <c r="S20" s="123"/>
    </row>
    <row r="21" s="1" customFormat="1" ht="15.75" spans="1:19">
      <c r="A21" s="8">
        <v>38</v>
      </c>
      <c r="B21" s="49" t="s">
        <v>134</v>
      </c>
      <c r="C21" s="173" t="s">
        <v>135</v>
      </c>
      <c r="D21" s="174" t="s">
        <v>136</v>
      </c>
      <c r="E21" s="175" t="s">
        <v>108</v>
      </c>
      <c r="F21" s="175" t="s">
        <v>137</v>
      </c>
      <c r="G21" s="52"/>
      <c r="H21" s="53"/>
      <c r="I21" s="98"/>
      <c r="J21" s="98"/>
      <c r="K21" s="98"/>
      <c r="L21" s="99">
        <v>1</v>
      </c>
      <c r="M21" s="99">
        <f t="shared" si="2"/>
        <v>400</v>
      </c>
      <c r="N21" s="100"/>
      <c r="O21" s="101"/>
      <c r="P21" s="102">
        <f t="shared" si="1"/>
        <v>0</v>
      </c>
      <c r="Q21" s="129"/>
      <c r="R21" s="130" t="s">
        <v>138</v>
      </c>
      <c r="S21" s="123"/>
    </row>
    <row r="22" s="1" customFormat="1" ht="15.75" spans="1:19">
      <c r="A22" s="8">
        <v>39</v>
      </c>
      <c r="B22" s="21"/>
      <c r="C22" s="176" t="s">
        <v>139</v>
      </c>
      <c r="D22" s="177" t="s">
        <v>140</v>
      </c>
      <c r="E22" s="154" t="s">
        <v>108</v>
      </c>
      <c r="F22" s="154" t="s">
        <v>141</v>
      </c>
      <c r="G22" s="46"/>
      <c r="H22" s="26"/>
      <c r="I22" s="26"/>
      <c r="J22" s="26"/>
      <c r="K22" s="26"/>
      <c r="L22" s="24">
        <v>1</v>
      </c>
      <c r="M22" s="24">
        <f t="shared" si="2"/>
        <v>400</v>
      </c>
      <c r="N22" s="178" t="s">
        <v>142</v>
      </c>
      <c r="O22" s="104">
        <v>0.8662</v>
      </c>
      <c r="P22" s="105">
        <f t="shared" si="1"/>
        <v>0</v>
      </c>
      <c r="Q22" s="131"/>
      <c r="R22" s="126">
        <v>0.8662</v>
      </c>
      <c r="S22" s="123"/>
    </row>
    <row r="23" s="1" customFormat="1" ht="15.75" spans="1:19">
      <c r="A23" s="8">
        <v>40</v>
      </c>
      <c r="B23" s="9" t="s">
        <v>143</v>
      </c>
      <c r="C23" s="138" t="s">
        <v>144</v>
      </c>
      <c r="D23" s="139" t="s">
        <v>145</v>
      </c>
      <c r="E23" s="140" t="s">
        <v>146</v>
      </c>
      <c r="F23" s="140" t="s">
        <v>147</v>
      </c>
      <c r="G23" s="140" t="s">
        <v>148</v>
      </c>
      <c r="H23" s="56"/>
      <c r="I23" s="56"/>
      <c r="J23" s="12"/>
      <c r="K23" s="56">
        <v>800</v>
      </c>
      <c r="L23" s="12">
        <v>2</v>
      </c>
      <c r="M23" s="56">
        <f t="shared" si="2"/>
        <v>800</v>
      </c>
      <c r="N23" s="106" t="s">
        <v>149</v>
      </c>
      <c r="O23" s="107">
        <v>1.74</v>
      </c>
      <c r="P23" s="93">
        <f t="shared" si="1"/>
        <v>1392</v>
      </c>
      <c r="Q23" s="39"/>
      <c r="R23" s="122"/>
      <c r="S23" s="123"/>
    </row>
    <row r="24" s="1" customFormat="1" ht="15.75" spans="1:19">
      <c r="A24" s="8">
        <v>42</v>
      </c>
      <c r="B24" s="15"/>
      <c r="C24" s="143" t="s">
        <v>150</v>
      </c>
      <c r="D24" s="144" t="s">
        <v>151</v>
      </c>
      <c r="E24" s="145" t="s">
        <v>152</v>
      </c>
      <c r="F24" s="145" t="s">
        <v>152</v>
      </c>
      <c r="G24" s="145" t="s">
        <v>148</v>
      </c>
      <c r="H24" s="57"/>
      <c r="I24" s="57"/>
      <c r="J24" s="18"/>
      <c r="K24" s="57">
        <v>420</v>
      </c>
      <c r="L24" s="18">
        <v>1</v>
      </c>
      <c r="M24" s="57">
        <f t="shared" si="2"/>
        <v>400</v>
      </c>
      <c r="N24" s="108" t="s">
        <v>149</v>
      </c>
      <c r="O24" s="88">
        <v>0.329</v>
      </c>
      <c r="P24" s="95">
        <f t="shared" si="1"/>
        <v>138.18</v>
      </c>
      <c r="Q24" s="43"/>
      <c r="R24" s="124"/>
      <c r="S24" s="123"/>
    </row>
    <row r="25" s="1" customFormat="1" ht="15.75" spans="1:19">
      <c r="A25" s="8">
        <v>43</v>
      </c>
      <c r="B25" s="15"/>
      <c r="C25" s="179" t="s">
        <v>153</v>
      </c>
      <c r="D25" s="180" t="s">
        <v>154</v>
      </c>
      <c r="E25" s="180" t="s">
        <v>155</v>
      </c>
      <c r="F25" s="59" t="s">
        <v>155</v>
      </c>
      <c r="G25" s="59"/>
      <c r="H25" s="59"/>
      <c r="I25" s="59"/>
      <c r="J25" s="59"/>
      <c r="K25" s="59"/>
      <c r="L25" s="109">
        <v>3</v>
      </c>
      <c r="M25" s="109">
        <f t="shared" si="2"/>
        <v>1200</v>
      </c>
      <c r="N25" s="59"/>
      <c r="O25" s="110"/>
      <c r="P25" s="111">
        <f t="shared" si="1"/>
        <v>0</v>
      </c>
      <c r="Q25" s="132" t="s">
        <v>156</v>
      </c>
      <c r="R25" s="133"/>
      <c r="S25" s="123"/>
    </row>
    <row r="26" s="1" customFormat="1" ht="15.75" spans="1:19">
      <c r="A26" s="8">
        <v>44</v>
      </c>
      <c r="B26" s="21"/>
      <c r="C26" s="181" t="s">
        <v>157</v>
      </c>
      <c r="D26" s="61" t="s">
        <v>158</v>
      </c>
      <c r="E26" s="182" t="s">
        <v>159</v>
      </c>
      <c r="F26" s="61" t="s">
        <v>159</v>
      </c>
      <c r="G26" s="61"/>
      <c r="H26" s="61"/>
      <c r="I26" s="61"/>
      <c r="J26" s="61"/>
      <c r="K26" s="61"/>
      <c r="L26" s="112">
        <v>5</v>
      </c>
      <c r="M26" s="112">
        <f t="shared" si="2"/>
        <v>2000</v>
      </c>
      <c r="N26" s="61"/>
      <c r="O26" s="113"/>
      <c r="P26" s="114">
        <f t="shared" si="1"/>
        <v>0</v>
      </c>
      <c r="Q26" s="134" t="s">
        <v>156</v>
      </c>
      <c r="R26" s="135"/>
      <c r="S26" s="123"/>
    </row>
    <row r="27" s="1" customFormat="1" spans="3:19">
      <c r="C27" s="62"/>
      <c r="D27" s="63"/>
      <c r="E27" s="62"/>
      <c r="G27" s="62"/>
      <c r="H27" s="62"/>
      <c r="I27" s="62"/>
      <c r="J27" s="62"/>
      <c r="K27" s="62"/>
      <c r="L27" s="115" t="s">
        <v>160</v>
      </c>
      <c r="M27" s="115"/>
      <c r="N27" s="115"/>
      <c r="O27" s="115"/>
      <c r="P27" s="116">
        <f>SUM(P3:P26)</f>
        <v>4412.55</v>
      </c>
      <c r="Q27" s="62"/>
      <c r="R27" s="62"/>
      <c r="S27" s="123"/>
    </row>
    <row r="28" s="1" customFormat="1" ht="15.75" spans="3:19">
      <c r="C28" s="62"/>
      <c r="E28" s="53"/>
      <c r="F28" s="53"/>
      <c r="G28" s="62"/>
      <c r="H28" s="62"/>
      <c r="I28" s="62"/>
      <c r="J28" s="62"/>
      <c r="K28" s="62"/>
      <c r="L28" s="117" t="s">
        <v>161</v>
      </c>
      <c r="M28" s="118"/>
      <c r="N28" s="118"/>
      <c r="O28" s="118"/>
      <c r="P28" s="119">
        <f>P27/400</f>
        <v>11.031375</v>
      </c>
      <c r="Q28" s="62"/>
      <c r="R28" s="62"/>
      <c r="S28" s="123"/>
    </row>
    <row r="29" s="1" customFormat="1" spans="4:19">
      <c r="D29" s="64"/>
      <c r="E29" s="53"/>
      <c r="H29" s="2"/>
      <c r="R29" s="123"/>
      <c r="S29" s="123"/>
    </row>
    <row r="30" s="1" customFormat="1" spans="4:19">
      <c r="D30" s="53"/>
      <c r="H30" s="2"/>
      <c r="R30" s="123"/>
      <c r="S30" s="123"/>
    </row>
    <row r="31" s="1" customFormat="1" spans="3:19">
      <c r="C31" s="65"/>
      <c r="D31" s="53"/>
      <c r="H31" s="2"/>
      <c r="R31" s="123"/>
      <c r="S31" s="123"/>
    </row>
    <row r="32" s="1" customFormat="1" spans="8:19">
      <c r="H32" s="2"/>
      <c r="R32" s="123"/>
      <c r="S32" s="123"/>
    </row>
    <row r="33" s="1" customFormat="1" spans="8:19">
      <c r="H33" s="2"/>
      <c r="R33" s="123"/>
      <c r="S33" s="123"/>
    </row>
    <row r="34" s="1" customFormat="1" spans="8:19">
      <c r="H34" s="2"/>
      <c r="R34" s="123"/>
      <c r="S34" s="123"/>
    </row>
    <row r="35" s="1" customFormat="1" spans="8:19">
      <c r="H35" s="2"/>
      <c r="R35" s="123"/>
      <c r="S35" s="123"/>
    </row>
    <row r="36" s="1" customFormat="1" ht="15.75" customHeight="1" spans="8:19">
      <c r="H36" s="2"/>
      <c r="R36" s="123"/>
      <c r="S36" s="123"/>
    </row>
    <row r="37" s="1" customFormat="1" spans="8:19">
      <c r="H37" s="2"/>
      <c r="R37" s="123"/>
      <c r="S37" s="123"/>
    </row>
    <row r="38" s="1" customFormat="1" spans="8:19">
      <c r="H38" s="2"/>
      <c r="R38" s="123"/>
      <c r="S38" s="123"/>
    </row>
    <row r="39" s="1" customFormat="1" spans="8:19">
      <c r="H39" s="2"/>
      <c r="R39" s="123"/>
      <c r="S39" s="123"/>
    </row>
    <row r="40" s="1" customFormat="1" spans="8:19">
      <c r="H40" s="2"/>
      <c r="R40" s="123"/>
      <c r="S40" s="123"/>
    </row>
    <row r="41" s="1" customFormat="1" spans="8:19">
      <c r="H41" s="2"/>
      <c r="R41" s="123"/>
      <c r="S41" s="123"/>
    </row>
    <row r="42" s="1" customFormat="1" spans="1:17">
      <c r="A42" s="2"/>
      <c r="H42" s="66"/>
      <c r="Q42" s="136"/>
    </row>
    <row r="43" s="1" customFormat="1" spans="1:17">
      <c r="A43" s="2"/>
      <c r="H43" s="66"/>
      <c r="Q43" s="136"/>
    </row>
  </sheetData>
  <mergeCells count="9">
    <mergeCell ref="A1:R1"/>
    <mergeCell ref="L27:O27"/>
    <mergeCell ref="L28:O28"/>
    <mergeCell ref="B3:B7"/>
    <mergeCell ref="B9:B10"/>
    <mergeCell ref="B11:B15"/>
    <mergeCell ref="B17:B20"/>
    <mergeCell ref="B21:B22"/>
    <mergeCell ref="B23:B26"/>
  </mergeCells>
  <conditionalFormatting sqref="Q22">
    <cfRule type="dataBar" priority="1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{17694de5-516d-4346-9e95-5c8155a1fa16}</x14:id>
        </ext>
      </extLst>
    </cfRule>
  </conditionalFormatting>
  <conditionalFormatting sqref="L2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{23c6cca4-e70c-4329-92d6-533dea04c7e4}</x14:id>
        </ext>
      </extLst>
    </cfRule>
  </conditionalFormatting>
  <conditionalFormatting sqref="L2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6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{8430697a-44bc-4c46-94a8-75ac0eb4224a}</x14:id>
        </ext>
      </extLst>
    </cfRule>
  </conditionalFormatting>
  <conditionalFormatting sqref="P28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{548a632a-72f8-420c-a9be-ee5c118fc17b}</x14:id>
        </ext>
      </extLst>
    </cfRule>
  </conditionalFormatting>
  <conditionalFormatting sqref="L3:L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5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{250e76a0-f923-487a-abc1-d6440c0a748c}</x14:id>
        </ext>
      </extLst>
    </cfRule>
  </conditionalFormatting>
  <conditionalFormatting sqref="N9:N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{a5a3dba1-3f57-4165-841e-58c8eaa0d0ee}</x14:id>
        </ext>
      </extLst>
    </cfRule>
  </conditionalFormatting>
  <conditionalFormatting sqref="N16:N18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{cbf315cd-bc48-4e61-b4c9-e69ff35f2b15}</x14:id>
        </ext>
      </extLst>
    </cfRule>
  </conditionalFormatting>
  <conditionalFormatting sqref="P3:P26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{ae99a424-93e0-4441-ac10-7ab1aa912812}</x14:id>
        </ext>
      </extLst>
    </cfRule>
  </conditionalFormatting>
  <conditionalFormatting sqref="M3:M7 L8:M2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5:M26 L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N3" r:id="rId1" display="LCSC"/>
    <hyperlink ref="N4" r:id="rId2" display="LCSC"/>
    <hyperlink ref="N5" r:id="rId3" display="LCSC"/>
    <hyperlink ref="N8" r:id="rId4" display="LCSC"/>
    <hyperlink ref="N9" r:id="rId5" display="LCSC"/>
    <hyperlink ref="N10" r:id="rId6" display="LCSC"/>
    <hyperlink ref="N11" r:id="rId7" display="LCSC"/>
    <hyperlink ref="N13" r:id="rId8" display="LCSC"/>
    <hyperlink ref="N12" r:id="rId9" display="LCSC"/>
    <hyperlink ref="N14" r:id="rId10" display="LCSC"/>
    <hyperlink ref="N15" r:id="rId11" display="LCSC"/>
    <hyperlink ref="N16" r:id="rId12" display="Utsource"/>
    <hyperlink ref="N18" r:id="rId13" display="LCSC"/>
    <hyperlink ref="N6" r:id="rId14" display="LCSC"/>
    <hyperlink ref="N7" r:id="rId15" display="LCSC"/>
    <hyperlink ref="N19" r:id="rId16" display="Alibaba"/>
    <hyperlink ref="N23" r:id="rId17" display="Aliexpress"/>
    <hyperlink ref="N24" r:id="rId18" display="Aliexpress"/>
    <hyperlink ref="N20" r:id="rId19" display="LCSC"/>
  </hyperlink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694de5-516d-4346-9e95-5c8155a1fa1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Q22</xm:sqref>
        </x14:conditionalFormatting>
        <x14:conditionalFormatting xmlns:xm="http://schemas.microsoft.com/office/excel/2006/main">
          <x14:cfRule type="dataBar" id="{23c6cca4-e70c-4329-92d6-533dea04c7e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Q25</xm:sqref>
        </x14:conditionalFormatting>
        <x14:conditionalFormatting xmlns:xm="http://schemas.microsoft.com/office/excel/2006/main">
          <x14:cfRule type="dataBar" id="{8430697a-44bc-4c46-94a8-75ac0eb4224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Q26</xm:sqref>
        </x14:conditionalFormatting>
        <x14:conditionalFormatting xmlns:xm="http://schemas.microsoft.com/office/excel/2006/main">
          <x14:cfRule type="dataBar" id="{548a632a-72f8-420c-a9be-ee5c118fc17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P28</xm:sqref>
        </x14:conditionalFormatting>
        <x14:conditionalFormatting xmlns:xm="http://schemas.microsoft.com/office/excel/2006/main">
          <x14:cfRule type="dataBar" id="{250e76a0-f923-487a-abc1-d6440c0a74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a5a3dba1-3f57-4165-841e-58c8eaa0d0e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N9:N10</xm:sqref>
        </x14:conditionalFormatting>
        <x14:conditionalFormatting xmlns:xm="http://schemas.microsoft.com/office/excel/2006/main">
          <x14:cfRule type="dataBar" id="{cbf315cd-bc48-4e61-b4c9-e69ff35f2b1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N16:N18</xm:sqref>
        </x14:conditionalFormatting>
        <x14:conditionalFormatting xmlns:xm="http://schemas.microsoft.com/office/excel/2006/main">
          <x14:cfRule type="dataBar" id="{ae99a424-93e0-4441-ac10-7ab1aa9128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texon</cp:lastModifiedBy>
  <dcterms:created xsi:type="dcterms:W3CDTF">2021-10-16T12:34:00Z</dcterms:created>
  <dcterms:modified xsi:type="dcterms:W3CDTF">2021-10-16T15:13:46Z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