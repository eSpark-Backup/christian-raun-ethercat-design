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<sst xmlns="http://schemas.openxmlformats.org/spreadsheetml/2006/main" count="284" uniqueCount="212">
  <si>
    <t>Bill of Material (BOM) for Interface_Board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</si>
  <si>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</si>
  <si>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</si>
  <si>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</si>
  <si>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</si>
  <si>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</si>
  <si>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</si>
  <si>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</si>
  <si>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</si>
  <si>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</si>
  <si>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</si>
  <si>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</si>
  <si>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</si>
  <si>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Quantity 400</t>
  </si>
  <si>
    <t>Link</t>
  </si>
  <si>
    <t>Unit Cost(1)</t>
  </si>
  <si>
    <t>MOQ Total</t>
  </si>
  <si>
    <t>Remarks</t>
  </si>
  <si>
    <t>Quotation of orignal parts from Chinese supplier</t>
  </si>
  <si>
    <t>Capacitor</t>
  </si>
  <si>
    <t>CAP CER 0.1UF 100V X7R 0603</t>
  </si>
  <si>
    <t>C34, C35, C37, C40</t>
  </si>
  <si>
    <t>Cap0603</t>
  </si>
  <si>
    <t>CC0603KRX7R0BB104</t>
  </si>
  <si>
    <t>Yageo</t>
  </si>
  <si>
    <t>C113803</t>
  </si>
  <si>
    <t>0.1uF</t>
  </si>
  <si>
    <t>LCSC</t>
  </si>
  <si>
    <t>CAP CER 1UF 100V X7S 0805</t>
  </si>
  <si>
    <t>C45</t>
  </si>
  <si>
    <t>Cap0805</t>
  </si>
  <si>
    <t>GCM21BC72A105KE36L</t>
  </si>
  <si>
    <t>Murata</t>
  </si>
  <si>
    <t>C2842838</t>
  </si>
  <si>
    <t>1uF</t>
  </si>
  <si>
    <t>CAP CER 10PF 50V C0G/NP0 0603</t>
  </si>
  <si>
    <t>C48, C49, C50, C51, C52, C53, C54, C55</t>
  </si>
  <si>
    <t>06035A100JAT2A</t>
  </si>
  <si>
    <t>Kyocera AVX</t>
  </si>
  <si>
    <t>C525235</t>
  </si>
  <si>
    <t>FN18N100J500PSG</t>
  </si>
  <si>
    <t>10pF</t>
  </si>
  <si>
    <t>CAP CER 0.022UF 100V X7R 0603</t>
  </si>
  <si>
    <t>C36, C56, C57</t>
  </si>
  <si>
    <t>CGA3E2X7R2A223K080AA</t>
  </si>
  <si>
    <t xml:space="preserve">TDK </t>
  </si>
  <si>
    <t>C21122</t>
  </si>
  <si>
    <t xml:space="preserve">CL10B223KB8NNNC
</t>
  </si>
  <si>
    <t>22nF</t>
  </si>
  <si>
    <t>CAP CER 2.2UF 50V X5R 0603</t>
  </si>
  <si>
    <t>C38</t>
  </si>
  <si>
    <t>UMK107BBJ225MA-T</t>
  </si>
  <si>
    <t xml:space="preserve">Taiyo Yuden
</t>
  </si>
  <si>
    <t>C268016</t>
  </si>
  <si>
    <t xml:space="preserve">UMK107BBJ225KA-T
</t>
  </si>
  <si>
    <t>2.2uF</t>
  </si>
  <si>
    <t>25V 5mm 10mm 100uF 100kHz SMD,5x10mm Aluminum Electrolytic Cap- SMD ROHS</t>
  </si>
  <si>
    <t>C43</t>
  </si>
  <si>
    <t>Custom</t>
  </si>
  <si>
    <t>VKMB1001E101MV</t>
  </si>
  <si>
    <t xml:space="preserve">Ymin </t>
  </si>
  <si>
    <t>C487322</t>
  </si>
  <si>
    <t>------------</t>
  </si>
  <si>
    <t>100uF</t>
  </si>
  <si>
    <t>63V 10mm 8mm 100uF ±20% ,8x10mm Aluminum Electrolytic Cap</t>
  </si>
  <si>
    <t>C44, C79</t>
  </si>
  <si>
    <t>VKMD1001J101MV</t>
  </si>
  <si>
    <t>C487384</t>
  </si>
  <si>
    <t>CAP ALUM 10uF 25V SMD</t>
  </si>
  <si>
    <t>C46</t>
  </si>
  <si>
    <t>RVT1E100M0405</t>
  </si>
  <si>
    <t>Honor Elec</t>
  </si>
  <si>
    <t>C3343</t>
  </si>
  <si>
    <t>10uF</t>
  </si>
  <si>
    <t xml:space="preserve">10V 22uF ±10% CASE-A_3216 Tantalum Capacitors ROHS
</t>
  </si>
  <si>
    <t>C2</t>
  </si>
  <si>
    <t>Cap Case-A</t>
  </si>
  <si>
    <t>CA45A-A-10V-22uF-K</t>
  </si>
  <si>
    <t>CEC</t>
  </si>
  <si>
    <t>C141745</t>
  </si>
  <si>
    <t>22uF</t>
  </si>
  <si>
    <t xml:space="preserve">CAP CER 1000PF 2KV X7R 1206
</t>
  </si>
  <si>
    <t>C58</t>
  </si>
  <si>
    <t>Cap1206</t>
  </si>
  <si>
    <t>CC1206KKX7RDBB102</t>
  </si>
  <si>
    <t>YAGEO</t>
  </si>
  <si>
    <t>C23631</t>
  </si>
  <si>
    <t>1000pF</t>
  </si>
  <si>
    <t>Diode</t>
  </si>
  <si>
    <t xml:space="preserve">DIODE SCHOTTKY 30V 3A CFP5
</t>
  </si>
  <si>
    <t>D2</t>
  </si>
  <si>
    <t xml:space="preserve">SOD-128
</t>
  </si>
  <si>
    <t>PMEG3030EP,115</t>
  </si>
  <si>
    <t xml:space="preserve">Nexperia </t>
  </si>
  <si>
    <t>C255587</t>
  </si>
  <si>
    <t>-----</t>
  </si>
  <si>
    <t>SOD-523 Schottky Barrier Diodes (SBD) ROHS</t>
  </si>
  <si>
    <t>D3</t>
  </si>
  <si>
    <t>SOD-523</t>
  </si>
  <si>
    <t>MSK4010</t>
  </si>
  <si>
    <t>Tak Cheong</t>
  </si>
  <si>
    <t>C968723</t>
  </si>
  <si>
    <t>Mosfet</t>
  </si>
  <si>
    <t>MOSFET N-CH 20V 4.2A SOT23</t>
  </si>
  <si>
    <t>Q1</t>
  </si>
  <si>
    <t>SOT-23</t>
  </si>
  <si>
    <t>IRLML2502TRPBF</t>
  </si>
  <si>
    <t xml:space="preserve"> INFINEON</t>
  </si>
  <si>
    <t>Utsource</t>
  </si>
  <si>
    <t>Inductor</t>
  </si>
  <si>
    <t>FIXED IND 33UH 2.5A 189.2MOHM SM</t>
  </si>
  <si>
    <t>L10</t>
  </si>
  <si>
    <t>ETQ-P4M330YFN</t>
  </si>
  <si>
    <t xml:space="preserve">Panasonic </t>
  </si>
  <si>
    <t>Digikey</t>
  </si>
  <si>
    <t>Resistor</t>
  </si>
  <si>
    <t>RES SMD 10K OHM 5% 1/10W 0603</t>
  </si>
  <si>
    <t>R1,R18</t>
  </si>
  <si>
    <t>Res0603</t>
  </si>
  <si>
    <t>AC0603JR-0710KL</t>
  </si>
  <si>
    <t>C140867</t>
  </si>
  <si>
    <t>10K</t>
  </si>
  <si>
    <t>RES  SMD 330R 100 mW 0603</t>
  </si>
  <si>
    <t xml:space="preserve"> R33, R39</t>
  </si>
  <si>
    <t>RC0603JR-07330RL</t>
  </si>
  <si>
    <t>C105879</t>
  </si>
  <si>
    <t>330R</t>
  </si>
  <si>
    <t>RES SMD 1K OHM 1% 1/10W 0603</t>
  </si>
  <si>
    <t>R21, R22, R29</t>
  </si>
  <si>
    <t>RC0603FR-071KL</t>
  </si>
  <si>
    <t>C22548</t>
  </si>
  <si>
    <t>1K</t>
  </si>
  <si>
    <t>RES SMD ±5% ±200ppm/℃ 0.18Ω 1W 2512</t>
  </si>
  <si>
    <t>R19, R20</t>
  </si>
  <si>
    <t>RES 2512</t>
  </si>
  <si>
    <t>RTT25R18JTE</t>
  </si>
  <si>
    <t xml:space="preserve">
RALEC</t>
  </si>
  <si>
    <t>C159165</t>
  </si>
  <si>
    <t>180m</t>
  </si>
  <si>
    <t>RES 0.075 OHM 1% 2W 2512</t>
  </si>
  <si>
    <t>R27</t>
  </si>
  <si>
    <t>CSRN2512FK75L0</t>
  </si>
  <si>
    <t xml:space="preserve">Stackpole </t>
  </si>
  <si>
    <t>C705611</t>
  </si>
  <si>
    <t xml:space="preserve">RL2512FK-070R075L
</t>
  </si>
  <si>
    <t>75m</t>
  </si>
  <si>
    <t>RES SMD 9kΩ ±100ppm/℃ 0.125W 0805</t>
  </si>
  <si>
    <t>R28</t>
  </si>
  <si>
    <t>0805W8F9001T5E</t>
  </si>
  <si>
    <t>UNI-ROYAL</t>
  </si>
  <si>
    <t>C247026</t>
  </si>
  <si>
    <t>9K</t>
  </si>
  <si>
    <t xml:space="preserve">RES 49.9K OHM 1% 1/10W 0603
</t>
  </si>
  <si>
    <t>R30, R31, R32, R34, R35, R36, R37, R38</t>
  </si>
  <si>
    <t>RC0603FR-0749K9L</t>
  </si>
  <si>
    <t>C114624</t>
  </si>
  <si>
    <t>49K9</t>
  </si>
  <si>
    <t>IC</t>
  </si>
  <si>
    <t xml:space="preserve">IC MTR DRV BIPOLAR 5.5-36V 32QFN
</t>
  </si>
  <si>
    <t>U3</t>
  </si>
  <si>
    <t>32-QFN (5x5)</t>
  </si>
  <si>
    <t>TMC2202-WA-T</t>
  </si>
  <si>
    <t xml:space="preserve">Trinamic </t>
  </si>
  <si>
    <t>Alibaba</t>
  </si>
  <si>
    <t>2A 40V SOIC-8_EP_150mil DC-DC Converters ROHS</t>
  </si>
  <si>
    <t>U7</t>
  </si>
  <si>
    <t>8-SOIC</t>
  </si>
  <si>
    <t>XL4001E1</t>
  </si>
  <si>
    <t xml:space="preserve">XLSEMI </t>
  </si>
  <si>
    <t>C73347</t>
  </si>
  <si>
    <t xml:space="preserve">IC REG LINEAR 3.3V 1A SOT223
</t>
  </si>
  <si>
    <t>U1</t>
  </si>
  <si>
    <t xml:space="preserve">SOT-223-3
</t>
  </si>
  <si>
    <t>AZ1117CH-3.3TRG1</t>
  </si>
  <si>
    <t xml:space="preserve">Diodes </t>
  </si>
  <si>
    <t>C92102</t>
  </si>
  <si>
    <t>Connector</t>
  </si>
  <si>
    <t>P=2.54mm Female Headers,SMD,ROHS</t>
  </si>
  <si>
    <t>J1</t>
  </si>
  <si>
    <t>PHF254SMD-x</t>
  </si>
  <si>
    <t>RTLECS</t>
  </si>
  <si>
    <t>Aliexpress</t>
  </si>
  <si>
    <t>10/100 BASE-TX RJ45 WITH LEDS
INTEGRATED MAGNETICS CONNECTOR</t>
  </si>
  <si>
    <t>J2, J3</t>
  </si>
  <si>
    <t>SK07-111071ENL</t>
  </si>
  <si>
    <t>SAK ELECTRONICS CO.,LTD</t>
  </si>
  <si>
    <t>Local Supplier</t>
  </si>
  <si>
    <t>CONN HEADER 4 POS 2.54mm SMD</t>
  </si>
  <si>
    <t>J4</t>
  </si>
  <si>
    <t>1125N1202SNM</t>
  </si>
  <si>
    <t>2.54mm Straight 1 4 Header TH,P=2.54mm Pin Headers ROHS</t>
  </si>
  <si>
    <t>P1</t>
  </si>
  <si>
    <t>HDR1X4</t>
  </si>
  <si>
    <t>MTP125-1104S1</t>
  </si>
  <si>
    <t>MINTRON</t>
  </si>
  <si>
    <t>C358686</t>
  </si>
  <si>
    <t>CONN HEADER VERT 2POS 2.54MM</t>
  </si>
  <si>
    <t>P2, P3</t>
  </si>
  <si>
    <t>HDR1X2</t>
  </si>
  <si>
    <t>826629-2</t>
  </si>
  <si>
    <t>TE Connectivity</t>
  </si>
  <si>
    <t>C86471</t>
  </si>
  <si>
    <t>Solder Bridge ON</t>
  </si>
  <si>
    <t xml:space="preserve"> SB1,SB2, SB3,SB3, SB4,SB5</t>
  </si>
  <si>
    <t>Solder Bridge</t>
  </si>
  <si>
    <t>DO NOT Mount</t>
  </si>
  <si>
    <t>Test Point ON</t>
  </si>
  <si>
    <t>P4, P5, P6, P7,P8</t>
  </si>
  <si>
    <t>TEST POINT</t>
  </si>
  <si>
    <t xml:space="preserve">Total Component Cost </t>
  </si>
  <si>
    <t>Single Board Cost</t>
  </si>
  <si>
    <t>ss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</si>
</sst>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&quot;$&quot;#,##0.0000_);[Red]\(&quot;$&quot;#,##0.0000\)"/>
    <numFmt numFmtId="179" formatCode="&quot;$&quot;#,##0.0000"/>
    <numFmt numFmtId="180" formatCode="&quot;$&quot;#,##0.00"/>
    <numFmt numFmtId="181" formatCode="_-[$$-409]* #,##0.00_ ;_-[$$-409]* \-#,##0.00\ ;_-[$$-409]* &quot;-&quot;??_ ;_-@_ "/>
  </numFmts>
  <fonts count="35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24292F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7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8" fillId="1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18" borderId="31" applyNumberFormat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0" fillId="17" borderId="30" applyNumberFormat="0" applyFon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2" fillId="26" borderId="29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25" fillId="15" borderId="28" applyNumberForma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0" fillId="15" borderId="29" applyNumberFormat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0" fillId="0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center"/>
    </xf>
    <xf numFmtId="0" fontId="0" fillId="0" borderId="14" xfId="0" applyFont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4" borderId="15" xfId="0" applyFont="1" applyFill="1" applyBorder="1" applyAlignment="1">
      <alignment horizontal="left" vertical="center"/>
    </xf>
    <xf numFmtId="0" fontId="0" fillId="4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left" vertical="center"/>
    </xf>
    <xf numFmtId="0" fontId="0" fillId="4" borderId="10" xfId="0" applyFont="1" applyFill="1" applyBorder="1" applyAlignment="1">
      <alignment horizontal="left" vertical="center"/>
    </xf>
    <xf numFmtId="0" fontId="0" fillId="4" borderId="13" xfId="0" applyFont="1" applyFill="1" applyBorder="1" applyAlignment="1">
      <alignment horizontal="left" vertical="center"/>
    </xf>
    <xf numFmtId="0" fontId="0" fillId="0" borderId="14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left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left" vertical="center"/>
    </xf>
    <xf numFmtId="0" fontId="7" fillId="7" borderId="1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3" borderId="17" xfId="0" applyFont="1" applyFill="1" applyBorder="1" applyAlignment="1">
      <alignment horizontal="center" vertical="center"/>
    </xf>
    <xf numFmtId="179" fontId="1" fillId="3" borderId="4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79" fontId="10" fillId="0" borderId="8" xfId="7" applyNumberFormat="1" applyFont="1" applyBorder="1" applyAlignment="1">
      <alignment horizontal="center" vertical="center"/>
    </xf>
    <xf numFmtId="179" fontId="0" fillId="0" borderId="8" xfId="0" applyNumberFormat="1" applyFont="1" applyBorder="1" applyAlignment="1">
      <alignment horizontal="center" vertical="center"/>
    </xf>
    <xf numFmtId="179" fontId="10" fillId="0" borderId="11" xfId="7" applyNumberFormat="1" applyFont="1" applyBorder="1" applyAlignment="1">
      <alignment horizontal="center" vertical="center"/>
    </xf>
    <xf numFmtId="179" fontId="0" fillId="0" borderId="11" xfId="0" applyNumberFormat="1" applyFont="1" applyBorder="1" applyAlignment="1">
      <alignment horizontal="center" vertical="center"/>
    </xf>
    <xf numFmtId="0" fontId="10" fillId="0" borderId="11" xfId="7" applyFont="1" applyBorder="1" applyAlignment="1">
      <alignment horizontal="center" vertical="center"/>
    </xf>
    <xf numFmtId="0" fontId="11" fillId="0" borderId="11" xfId="7" applyFont="1" applyBorder="1" applyAlignment="1">
      <alignment horizontal="center" vertical="center"/>
    </xf>
    <xf numFmtId="179" fontId="5" fillId="0" borderId="11" xfId="0" applyNumberFormat="1" applyFont="1" applyBorder="1" applyAlignment="1">
      <alignment horizontal="center" vertical="center"/>
    </xf>
    <xf numFmtId="179" fontId="4" fillId="0" borderId="11" xfId="0" applyNumberFormat="1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11" fillId="0" borderId="11" xfId="7" applyFont="1" applyFill="1" applyBorder="1" applyAlignment="1">
      <alignment horizontal="center" vertical="center"/>
    </xf>
    <xf numFmtId="179" fontId="5" fillId="0" borderId="11" xfId="0" applyNumberFormat="1" applyFont="1" applyFill="1" applyBorder="1" applyAlignment="1">
      <alignment horizontal="center" vertical="center"/>
    </xf>
    <xf numFmtId="0" fontId="11" fillId="0" borderId="14" xfId="7" applyFont="1" applyBorder="1" applyAlignment="1">
      <alignment horizontal="center" vertical="center"/>
    </xf>
    <xf numFmtId="179" fontId="5" fillId="0" borderId="14" xfId="0" applyNumberFormat="1" applyFont="1" applyBorder="1" applyAlignment="1">
      <alignment horizontal="center" vertical="center"/>
    </xf>
    <xf numFmtId="179" fontId="0" fillId="0" borderId="14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11" fillId="0" borderId="8" xfId="7" applyFont="1" applyBorder="1" applyAlignment="1">
      <alignment horizontal="center" vertical="center"/>
    </xf>
    <xf numFmtId="179" fontId="5" fillId="0" borderId="8" xfId="0" applyNumberFormat="1" applyFont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179" fontId="5" fillId="4" borderId="14" xfId="0" applyNumberFormat="1" applyFont="1" applyFill="1" applyBorder="1" applyAlignment="1">
      <alignment horizontal="center" vertical="center"/>
    </xf>
    <xf numFmtId="0" fontId="11" fillId="4" borderId="16" xfId="7" applyFont="1" applyFill="1" applyBorder="1" applyAlignment="1">
      <alignment horizontal="center" vertical="center"/>
    </xf>
    <xf numFmtId="179" fontId="5" fillId="4" borderId="16" xfId="0" applyNumberFormat="1" applyFont="1" applyFill="1" applyBorder="1" applyAlignment="1">
      <alignment horizontal="center" vertical="center"/>
    </xf>
    <xf numFmtId="179" fontId="0" fillId="0" borderId="16" xfId="0" applyNumberFormat="1" applyFont="1" applyBorder="1" applyAlignment="1">
      <alignment horizontal="center" vertical="center"/>
    </xf>
    <xf numFmtId="179" fontId="10" fillId="6" borderId="16" xfId="7" applyNumberFormat="1" applyFill="1" applyBorder="1" applyAlignment="1">
      <alignment horizontal="center" vertical="center"/>
    </xf>
    <xf numFmtId="179" fontId="6" fillId="6" borderId="16" xfId="0" applyNumberFormat="1" applyFont="1" applyFill="1" applyBorder="1" applyAlignment="1">
      <alignment horizontal="center" vertical="center"/>
    </xf>
    <xf numFmtId="179" fontId="0" fillId="6" borderId="16" xfId="0" applyNumberFormat="1" applyFont="1" applyFill="1" applyBorder="1" applyAlignment="1">
      <alignment horizontal="center" vertical="center"/>
    </xf>
    <xf numFmtId="0" fontId="11" fillId="4" borderId="8" xfId="7" applyFont="1" applyFill="1" applyBorder="1" applyAlignment="1">
      <alignment horizontal="center" vertical="center"/>
    </xf>
    <xf numFmtId="179" fontId="5" fillId="4" borderId="8" xfId="0" applyNumberFormat="1" applyFont="1" applyFill="1" applyBorder="1" applyAlignment="1">
      <alignment horizontal="center" vertical="center"/>
    </xf>
    <xf numFmtId="0" fontId="11" fillId="4" borderId="11" xfId="7" applyFont="1" applyFill="1" applyBorder="1" applyAlignment="1">
      <alignment horizontal="center" vertical="center"/>
    </xf>
    <xf numFmtId="179" fontId="5" fillId="4" borderId="11" xfId="0" applyNumberFormat="1" applyFont="1" applyFill="1" applyBorder="1" applyAlignment="1">
      <alignment horizontal="center" vertical="center"/>
    </xf>
    <xf numFmtId="179" fontId="11" fillId="4" borderId="14" xfId="7" applyNumberFormat="1" applyFont="1" applyFill="1" applyBorder="1" applyAlignment="1">
      <alignment horizontal="center" vertical="center"/>
    </xf>
    <xf numFmtId="179" fontId="11" fillId="4" borderId="8" xfId="7" applyNumberFormat="1" applyFont="1" applyFill="1" applyBorder="1" applyAlignment="1">
      <alignment horizontal="center" vertical="center"/>
    </xf>
    <xf numFmtId="0" fontId="11" fillId="4" borderId="14" xfId="7" applyFont="1" applyFill="1" applyBorder="1" applyAlignment="1">
      <alignment horizontal="center" vertical="center"/>
    </xf>
    <xf numFmtId="0" fontId="12" fillId="4" borderId="8" xfId="7" applyFont="1" applyFill="1" applyBorder="1" applyAlignment="1">
      <alignment horizontal="center" vertical="center"/>
    </xf>
    <xf numFmtId="0" fontId="10" fillId="4" borderId="11" xfId="7" applyFont="1" applyFill="1" applyBorder="1" applyAlignment="1">
      <alignment horizontal="center" vertical="center"/>
    </xf>
    <xf numFmtId="178" fontId="13" fillId="4" borderId="11" xfId="0" applyNumberFormat="1" applyFont="1" applyFill="1" applyBorder="1" applyAlignment="1">
      <alignment horizontal="center" vertical="center"/>
    </xf>
    <xf numFmtId="180" fontId="0" fillId="4" borderId="11" xfId="0" applyNumberFormat="1" applyFont="1" applyFill="1" applyBorder="1" applyAlignment="1">
      <alignment horizontal="center" vertical="center"/>
    </xf>
    <xf numFmtId="0" fontId="0" fillId="7" borderId="11" xfId="0" applyFont="1" applyFill="1" applyBorder="1" applyAlignment="1">
      <alignment horizontal="center" vertical="center"/>
    </xf>
    <xf numFmtId="179" fontId="7" fillId="7" borderId="11" xfId="0" applyNumberFormat="1" applyFont="1" applyFill="1" applyBorder="1" applyAlignment="1">
      <alignment horizontal="center" vertical="center"/>
    </xf>
    <xf numFmtId="179" fontId="0" fillId="7" borderId="11" xfId="0" applyNumberFormat="1" applyFont="1" applyFill="1" applyBorder="1" applyAlignment="1">
      <alignment horizontal="center" vertical="center"/>
    </xf>
    <xf numFmtId="0" fontId="0" fillId="7" borderId="14" xfId="0" applyFont="1" applyFill="1" applyBorder="1" applyAlignment="1">
      <alignment horizontal="center" vertical="center"/>
    </xf>
    <xf numFmtId="179" fontId="7" fillId="7" borderId="14" xfId="0" applyNumberFormat="1" applyFont="1" applyFill="1" applyBorder="1" applyAlignment="1">
      <alignment horizontal="center" vertical="center"/>
    </xf>
    <xf numFmtId="179" fontId="0" fillId="7" borderId="14" xfId="0" applyNumberFormat="1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180" fontId="0" fillId="0" borderId="20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180" fontId="0" fillId="0" borderId="2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180" fontId="0" fillId="0" borderId="22" xfId="0" applyNumberFormat="1" applyFont="1" applyBorder="1" applyAlignment="1">
      <alignment horizontal="center" vertical="center"/>
    </xf>
    <xf numFmtId="0" fontId="0" fillId="0" borderId="0" xfId="0" applyFont="1"/>
    <xf numFmtId="180" fontId="0" fillId="0" borderId="23" xfId="0" applyNumberFormat="1" applyFont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181" fontId="16" fillId="4" borderId="1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wrapText="1"/>
    </xf>
    <xf numFmtId="180" fontId="0" fillId="0" borderId="24" xfId="0" applyNumberFormat="1" applyFont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181" fontId="16" fillId="4" borderId="16" xfId="0" applyNumberFormat="1" applyFont="1" applyFill="1" applyBorder="1" applyAlignment="1">
      <alignment horizontal="center" vertical="center"/>
    </xf>
    <xf numFmtId="180" fontId="0" fillId="0" borderId="25" xfId="0" applyNumberFormat="1" applyFont="1" applyBorder="1" applyAlignment="1">
      <alignment horizontal="center" vertical="center"/>
    </xf>
    <xf numFmtId="180" fontId="6" fillId="6" borderId="25" xfId="0" applyNumberFormat="1" applyFont="1" applyFill="1" applyBorder="1" applyAlignment="1">
      <alignment horizontal="center" vertical="center"/>
    </xf>
    <xf numFmtId="181" fontId="16" fillId="4" borderId="8" xfId="0" applyNumberFormat="1" applyFont="1" applyFill="1" applyBorder="1" applyAlignment="1">
      <alignment horizontal="center" vertical="center"/>
    </xf>
    <xf numFmtId="181" fontId="16" fillId="7" borderId="11" xfId="0" applyNumberFormat="1" applyFont="1" applyFill="1" applyBorder="1" applyAlignment="1">
      <alignment horizontal="center" vertical="center"/>
    </xf>
    <xf numFmtId="180" fontId="0" fillId="7" borderId="23" xfId="0" applyNumberFormat="1" applyFont="1" applyFill="1" applyBorder="1" applyAlignment="1">
      <alignment horizontal="center" vertical="center"/>
    </xf>
    <xf numFmtId="181" fontId="16" fillId="7" borderId="14" xfId="0" applyNumberFormat="1" applyFont="1" applyFill="1" applyBorder="1" applyAlignment="1">
      <alignment horizontal="center" vertical="center"/>
    </xf>
    <xf numFmtId="180" fontId="0" fillId="7" borderId="24" xfId="0" applyNumberFormat="1" applyFont="1" applyFill="1" applyBorder="1" applyAlignment="1">
      <alignment horizontal="center" vertical="center"/>
    </xf>
    <xf numFmtId="0" fontId="8" fillId="0" borderId="0" xfId="0" applyFont="1"/>
    <xf numFmtId="0" fontId="1" fillId="4" borderId="21" xfId="0" applyFont="1" applyFill="1" applyBorder="1" applyAlignment="1">
      <alignment vertical="center"/>
    </xf>
    <xf numFmtId="0" fontId="0" fillId="0" borderId="7" xfId="0" applyFont="1" applyFill="1" applyBorder="1" applyAlignment="1" quotePrefix="1">
      <alignment horizontal="left" vertical="center"/>
    </xf>
    <xf numFmtId="0" fontId="0" fillId="0" borderId="8" xfId="0" applyFont="1" applyFill="1" applyBorder="1" applyAlignment="1" quotePrefix="1">
      <alignment horizontal="center" vertical="center"/>
    </xf>
    <xf numFmtId="0" fontId="0" fillId="4" borderId="8" xfId="0" applyFont="1" applyFill="1" applyBorder="1" applyAlignment="1" quotePrefix="1">
      <alignment horizontal="center" vertical="center"/>
    </xf>
    <xf numFmtId="0" fontId="0" fillId="0" borderId="10" xfId="0" applyFont="1" applyFill="1" applyBorder="1" applyAlignment="1" quotePrefix="1">
      <alignment horizontal="left" vertical="center"/>
    </xf>
    <xf numFmtId="0" fontId="0" fillId="0" borderId="11" xfId="0" applyFont="1" applyFill="1" applyBorder="1" applyAlignment="1" quotePrefix="1">
      <alignment horizontal="center" vertical="center"/>
    </xf>
    <xf numFmtId="0" fontId="0" fillId="4" borderId="11" xfId="0" applyFont="1" applyFill="1" applyBorder="1" applyAlignment="1" quotePrefix="1">
      <alignment horizontal="center" vertical="center"/>
    </xf>
    <xf numFmtId="0" fontId="0" fillId="0" borderId="10" xfId="0" applyFont="1" applyBorder="1" applyAlignment="1" quotePrefix="1">
      <alignment horizontal="left" vertical="center"/>
    </xf>
    <xf numFmtId="0" fontId="0" fillId="0" borderId="11" xfId="0" applyFont="1" applyBorder="1" applyAlignment="1" quotePrefix="1">
      <alignment horizontal="center" vertical="center"/>
    </xf>
    <xf numFmtId="0" fontId="5" fillId="0" borderId="11" xfId="0" applyFont="1" applyBorder="1" applyAlignment="1" quotePrefix="1">
      <alignment horizontal="center" vertical="center"/>
    </xf>
    <xf numFmtId="0" fontId="11" fillId="0" borderId="11" xfId="7" applyFont="1" applyBorder="1" applyAlignment="1" quotePrefix="1">
      <alignment horizontal="center" vertical="center"/>
    </xf>
    <xf numFmtId="0" fontId="5" fillId="4" borderId="11" xfId="0" applyFont="1" applyFill="1" applyBorder="1" applyAlignment="1" quotePrefix="1">
      <alignment horizontal="center" vertical="center"/>
    </xf>
    <xf numFmtId="0" fontId="11" fillId="0" borderId="11" xfId="7" applyFont="1" applyFill="1" applyBorder="1" applyAlignment="1" quotePrefix="1">
      <alignment horizontal="center" vertical="center"/>
    </xf>
    <xf numFmtId="0" fontId="0" fillId="0" borderId="13" xfId="0" applyFont="1" applyBorder="1" applyAlignment="1" quotePrefix="1">
      <alignment horizontal="left" vertical="center"/>
    </xf>
    <xf numFmtId="0" fontId="0" fillId="0" borderId="14" xfId="0" applyFont="1" applyBorder="1" applyAlignment="1" quotePrefix="1">
      <alignment horizontal="center" vertical="center"/>
    </xf>
    <xf numFmtId="0" fontId="0" fillId="4" borderId="14" xfId="0" applyFont="1" applyFill="1" applyBorder="1" applyAlignment="1" quotePrefix="1">
      <alignment horizontal="center" vertical="center"/>
    </xf>
    <xf numFmtId="0" fontId="5" fillId="0" borderId="14" xfId="0" applyFont="1" applyBorder="1" applyAlignment="1" quotePrefix="1">
      <alignment horizontal="center" vertical="center"/>
    </xf>
    <xf numFmtId="0" fontId="5" fillId="4" borderId="14" xfId="0" applyFont="1" applyFill="1" applyBorder="1" applyAlignment="1" quotePrefix="1">
      <alignment horizontal="center" vertical="center"/>
    </xf>
    <xf numFmtId="0" fontId="11" fillId="0" borderId="14" xfId="7" applyFont="1" applyBorder="1" applyAlignment="1" quotePrefix="1">
      <alignment horizontal="center" vertical="center"/>
    </xf>
    <xf numFmtId="0" fontId="0" fillId="0" borderId="7" xfId="0" applyFont="1" applyBorder="1" applyAlignment="1" quotePrefix="1">
      <alignment horizontal="left" vertical="center"/>
    </xf>
    <xf numFmtId="0" fontId="0" fillId="0" borderId="8" xfId="0" applyFont="1" applyBorder="1" applyAlignment="1" quotePrefix="1">
      <alignment horizontal="center" vertical="center"/>
    </xf>
    <xf numFmtId="0" fontId="5" fillId="4" borderId="8" xfId="0" applyFont="1" applyFill="1" applyBorder="1" applyAlignment="1" quotePrefix="1">
      <alignment horizontal="center" vertical="center"/>
    </xf>
    <xf numFmtId="0" fontId="5" fillId="0" borderId="8" xfId="0" applyFont="1" applyBorder="1" applyAlignment="1" quotePrefix="1">
      <alignment horizontal="center" vertical="center"/>
    </xf>
    <xf numFmtId="0" fontId="11" fillId="0" borderId="8" xfId="7" applyFont="1" applyBorder="1" applyAlignment="1" quotePrefix="1">
      <alignment horizontal="center" vertical="center"/>
    </xf>
    <xf numFmtId="0" fontId="0" fillId="4" borderId="15" xfId="0" applyFont="1" applyFill="1" applyBorder="1" applyAlignment="1" quotePrefix="1">
      <alignment horizontal="left" vertical="center"/>
    </xf>
    <xf numFmtId="0" fontId="0" fillId="4" borderId="16" xfId="0" applyFont="1" applyFill="1" applyBorder="1" applyAlignment="1" quotePrefix="1">
      <alignment horizontal="center" vertical="center"/>
    </xf>
    <xf numFmtId="0" fontId="5" fillId="4" borderId="16" xfId="0" applyFont="1" applyFill="1" applyBorder="1" applyAlignment="1" quotePrefix="1">
      <alignment horizontal="center" vertical="center"/>
    </xf>
    <xf numFmtId="0" fontId="11" fillId="4" borderId="16" xfId="7" applyFont="1" applyFill="1" applyBorder="1" applyAlignment="1" quotePrefix="1">
      <alignment horizontal="center" vertical="center"/>
    </xf>
    <xf numFmtId="0" fontId="6" fillId="6" borderId="15" xfId="0" applyFont="1" applyFill="1" applyBorder="1" applyAlignment="1" quotePrefix="1">
      <alignment horizontal="left" vertical="center"/>
    </xf>
    <xf numFmtId="0" fontId="6" fillId="6" borderId="16" xfId="0" applyFont="1" applyFill="1" applyBorder="1" applyAlignment="1" quotePrefix="1">
      <alignment horizontal="center" vertical="center"/>
    </xf>
    <xf numFmtId="0" fontId="0" fillId="4" borderId="7" xfId="0" applyFont="1" applyFill="1" applyBorder="1" applyAlignment="1" quotePrefix="1">
      <alignment horizontal="left" vertical="center"/>
    </xf>
    <xf numFmtId="0" fontId="11" fillId="4" borderId="8" xfId="7" applyFont="1" applyFill="1" applyBorder="1" applyAlignment="1" quotePrefix="1">
      <alignment horizontal="center" vertical="center"/>
    </xf>
    <xf numFmtId="0" fontId="0" fillId="4" borderId="10" xfId="0" applyFont="1" applyFill="1" applyBorder="1" applyAlignment="1" quotePrefix="1">
      <alignment horizontal="left" vertical="center"/>
    </xf>
    <xf numFmtId="0" fontId="11" fillId="4" borderId="11" xfId="7" applyFont="1" applyFill="1" applyBorder="1" applyAlignment="1" quotePrefix="1">
      <alignment horizontal="center" vertical="center"/>
    </xf>
    <xf numFmtId="0" fontId="0" fillId="4" borderId="13" xfId="0" applyFont="1" applyFill="1" applyBorder="1" applyAlignment="1" quotePrefix="1">
      <alignment horizontal="left" vertical="center"/>
    </xf>
    <xf numFmtId="0" fontId="11" fillId="4" borderId="14" xfId="7" applyFont="1" applyFill="1" applyBorder="1" applyAlignment="1" quotePrefix="1">
      <alignment horizontal="center" vertical="center"/>
    </xf>
    <xf numFmtId="0" fontId="10" fillId="4" borderId="11" xfId="7" applyFont="1" applyFill="1" applyBorder="1" applyAlignment="1" quotePrefix="1">
      <alignment horizontal="center" vertical="center"/>
    </xf>
    <xf numFmtId="0" fontId="7" fillId="7" borderId="10" xfId="0" applyFont="1" applyFill="1" applyBorder="1" applyAlignment="1" quotePrefix="1">
      <alignment horizontal="left" vertical="center"/>
    </xf>
    <xf numFmtId="0" fontId="7" fillId="7" borderId="11" xfId="0" applyFont="1" applyFill="1" applyBorder="1" applyAlignment="1" quotePrefix="1">
      <alignment horizontal="center" vertical="center"/>
    </xf>
    <xf numFmtId="0" fontId="7" fillId="7" borderId="13" xfId="0" applyFont="1" applyFill="1" applyBorder="1" applyAlignment="1" quotePrefix="1">
      <alignment horizontal="left" vertical="center"/>
    </xf>
    <xf numFmtId="0" fontId="7" fillId="7" borderId="14" xfId="0" applyFont="1" applyFill="1" applyBorder="1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csc.com/product-detail/Chip-Resistor-Surface-Mount_YAGEO-AC0603JR-0710KL_C140867.html" TargetMode="External"/><Relationship Id="rId8" Type="http://schemas.openxmlformats.org/officeDocument/2006/relationships/hyperlink" Target="https://www.utsource.net/itm/p/819662.html?digipart=1" TargetMode="External"/><Relationship Id="rId7" Type="http://schemas.openxmlformats.org/officeDocument/2006/relationships/hyperlink" Target="https://www.lcsc.com/product-detail/Schottky-Barrier-Diodes-SBD_Tak-Cheong-MSK4010_C968723.html" TargetMode="External"/><Relationship Id="rId6" Type="http://schemas.openxmlformats.org/officeDocument/2006/relationships/hyperlink" Target="https://www.lcsc.com/product-detail/Schottky-Barrier-Diodes-SBD_Nexperia-PMEG3030EP-115_C255587.html" TargetMode="External"/><Relationship Id="rId5" Type="http://schemas.openxmlformats.org/officeDocument/2006/relationships/hyperlink" Target="https://www.lcsc.com/product-detail/Multilayer-Ceramic-Capacitors-MLCC-SMD-SMT_YAGEO-CC1206KKX7RDBB102_C23631.html" TargetMode="External"/><Relationship Id="rId4" Type="http://schemas.openxmlformats.org/officeDocument/2006/relationships/hyperlink" Target="https://www.lcsc.com/product-detail/Tantalum-Capacitors_CEC-Shenzhen-Zhenhua-XinYun-Elec-CA45A-A-10V-22uF-K_C141745.html" TargetMode="External"/><Relationship Id="rId3" Type="http://schemas.openxmlformats.org/officeDocument/2006/relationships/hyperlink" Target="https://www.lcsc.com/product-detail/Aluminum-Electrolytic-Capacitors-SMD_Honor-Elec-RVT1E100M0405_C3343.html" TargetMode="External"/><Relationship Id="rId28" Type="http://schemas.openxmlformats.org/officeDocument/2006/relationships/hyperlink" Target="https://www.digikey.com/en/products/detail/panasonic-electronic-components/ETQ-P4M330YFN/7805251" TargetMode="External"/><Relationship Id="rId27" Type="http://schemas.openxmlformats.org/officeDocument/2006/relationships/hyperlink" Target="https://lcsc.com/product-detail/Pin-Headers_MINTRON-MTP125-1104S1_C358686.html" TargetMode="External"/><Relationship Id="rId26" Type="http://schemas.openxmlformats.org/officeDocument/2006/relationships/hyperlink" Target="https://tr.aliexpress.com/item/32727363517.html?spm=a2g0o.productlist.0.0.713a752dLtqKvq&amp;algo_pvid=75a9fd63-31f4-4f03-9ae6-e55dd07e6d7f&amp;algo_exp_id=75a9fd63-31f4-4f03-9ae6-e55dd07e6d7f-2&amp;pdp_ext_f=%7B%22sku_id%22%3A%2261240561970%22%7D" TargetMode="External"/><Relationship Id="rId25" Type="http://schemas.openxmlformats.org/officeDocument/2006/relationships/hyperlink" Target="https://tr.aliexpress.com/item/32814431059.html" TargetMode="External"/><Relationship Id="rId24" Type="http://schemas.openxmlformats.org/officeDocument/2006/relationships/hyperlink" Target="https://lcsc.com/product-detail/Multilayer-Ceramic-Capacitors-MLCC-SMD-SMT_PSA-Prosperity-Dielectrics-FN18N100J500PSG_C525235.html" TargetMode="External"/><Relationship Id="rId23" Type="http://schemas.openxmlformats.org/officeDocument/2006/relationships/hyperlink" Target="https://lcsc.com/product-detail/old-batch_Murata-Electronics-GCM21BC72A105KE36L_C2842838.html" TargetMode="External"/><Relationship Id="rId22" Type="http://schemas.openxmlformats.org/officeDocument/2006/relationships/hyperlink" Target="https://lcsc.com/product-detail/Multilayer-Ceramic-Capacitors-MLCC-SMD-SMT_YAGEO-CC0603KRX7R0BB104_C113803.html" TargetMode="External"/><Relationship Id="rId21" Type="http://schemas.openxmlformats.org/officeDocument/2006/relationships/hyperlink" Target="https://www.alibaba.com/product-detail/IC-STEPPER-MOTOR-DRIVER-RoHS-TMC2202_1600143313562.html?spm=a2700.galleryofferlist.normal_offer.d_title.1b6e460eVRgoNU" TargetMode="External"/><Relationship Id="rId20" Type="http://schemas.openxmlformats.org/officeDocument/2006/relationships/hyperlink" Target="https://www.lcsc.com/product-detail/Chip-span-style-background-color-ff0-Resistor-span-Surface-Mount_YAGEO-RL2512FK-070R075L_C705611.html" TargetMode="External"/><Relationship Id="rId2" Type="http://schemas.openxmlformats.org/officeDocument/2006/relationships/hyperlink" Target="https://www.lcsc.com/product-detail/Aluminum-Electrolytic-Capacitors-SMD_Ymin-VKMD1001J101MV_C487384.html" TargetMode="External"/><Relationship Id="rId19" Type="http://schemas.openxmlformats.org/officeDocument/2006/relationships/hyperlink" Target="https://www.lcsc.com/product-detail/Multilayer-Ceramic-Capacitors-MLCC-SMD-SMT_Taiyo-Yuden-UMK107BBJ225KA-T_C268016.html" TargetMode="External"/><Relationship Id="rId18" Type="http://schemas.openxmlformats.org/officeDocument/2006/relationships/hyperlink" Target="https://www.lcsc.com/product-detail/Multilayer-Ceramic-Capacitors-MLCC-SMD-SMT_Samsung-Electro-Mechanics-CL10B223KB8NNNC_C21122.html" TargetMode="External"/><Relationship Id="rId17" Type="http://schemas.openxmlformats.org/officeDocument/2006/relationships/hyperlink" Target="https://www.lcsc.com/product-detail/Pin-Headers_TE-Connectivity-826629-2_C86471.html" TargetMode="External"/><Relationship Id="rId16" Type="http://schemas.openxmlformats.org/officeDocument/2006/relationships/hyperlink" Target="https://www.lcsc.com/product-detail/Linear-Voltage-Regulators-LDO_Diodes-Incorporated-AZ1117CH-3-3TRG1_C92102.html" TargetMode="External"/><Relationship Id="rId15" Type="http://schemas.openxmlformats.org/officeDocument/2006/relationships/hyperlink" Target="https://www.lcsc.com/product-detail/DC-DC-Converters_XLSEMI-XL4001E1_C73347.html" TargetMode="External"/><Relationship Id="rId14" Type="http://schemas.openxmlformats.org/officeDocument/2006/relationships/hyperlink" Target="https://www.lcsc.com/product-detail/Chip-Resistor-Surface-Mount_YAGEO-RC0603FR-0749K9L_C114624.html" TargetMode="External"/><Relationship Id="rId13" Type="http://schemas.openxmlformats.org/officeDocument/2006/relationships/hyperlink" Target="https://www.lcsc.com/product-detail/Chip-Resistor-Surface-Mount_UNI-ROYAL-Uniroyal-Elec-0805W8F9001T5E_C247026.html" TargetMode="External"/><Relationship Id="rId12" Type="http://schemas.openxmlformats.org/officeDocument/2006/relationships/hyperlink" Target="https://www.lcsc.com/product-detail/Chip-Resistor-Surface-Mount_RALEC-RTT25R18JTE_C159165.html" TargetMode="External"/><Relationship Id="rId11" Type="http://schemas.openxmlformats.org/officeDocument/2006/relationships/hyperlink" Target="https://www.lcsc.com/product-detail/Chip-Resistor-Surface-Mount_YAGEO-RC0603FR-071KL_C22548.html" TargetMode="External"/><Relationship Id="rId10" Type="http://schemas.openxmlformats.org/officeDocument/2006/relationships/hyperlink" Target="https://www.lcsc.com/product-detail/Chip-Resistor-Surface-Mount_YAGEO-RC0603JR-07330RL_C105879.html" TargetMode="External"/><Relationship Id="rId1" Type="http://schemas.openxmlformats.org/officeDocument/2006/relationships/hyperlink" Target="https://www.lcsc.com/product-detail/Aluminum-Electrolytic-Capacitors-SMD_Ymin-VKMB1001E101MV_C4873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0"/>
  <sheetViews>
    <sheetView tabSelected="1" zoomScale="85" zoomScaleNormal="85" topLeftCell="A2" workbookViewId="0">
      <selection activeCell="L3" sqref="L3"/>
    </sheetView>
  </sheetViews>
  <sheetFormatPr defaultColWidth="9" defaultRowHeight="15"/>
  <cols>
    <col min="1" max="1" width="6.14285714285714" style="1" customWidth="1"/>
    <col min="2" max="2" width="14.4285714285714" customWidth="1"/>
    <col min="3" max="3" width="47.5714285714286" customWidth="1"/>
    <col min="4" max="4" width="33.1428571428571" customWidth="1"/>
    <col min="5" max="5" width="21" customWidth="1"/>
    <col min="6" max="6" width="29" customWidth="1"/>
    <col min="7" max="7" width="26.2857142857143" customWidth="1"/>
    <col min="8" max="8" width="15.2857142857143" style="1" customWidth="1"/>
    <col min="9" max="9" width="21.5714285714286" customWidth="1"/>
    <col min="10" max="10" width="7" customWidth="1"/>
    <col min="11" max="11" width="11.5714285714286" customWidth="1"/>
    <col min="12" max="12" width="21.8571428571429" customWidth="1"/>
    <col min="13" max="13" width="14.1428571428571" customWidth="1"/>
    <col min="14" max="14" width="14.2857142857143" customWidth="1"/>
    <col min="15" max="15" width="12.7142857142857" customWidth="1"/>
    <col min="16" max="16" width="13.4285714285714" customWidth="1"/>
    <col min="17" max="17" width="14.1428571428571" customWidth="1"/>
    <col min="18" max="18" width="26.5714285714286" customWidth="1"/>
  </cols>
  <sheetData>
    <row r="1" ht="16.5" spans="1:3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21"/>
    </row>
    <row r="2" ht="32.25" spans="1:18">
      <c r="A2" s="4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0" t="s">
        <v>14</v>
      </c>
      <c r="O2" s="51" t="s">
        <v>15</v>
      </c>
      <c r="P2" s="52" t="s">
        <v>16</v>
      </c>
      <c r="Q2" s="5" t="s">
        <v>17</v>
      </c>
      <c r="R2" s="103" t="s">
        <v>18</v>
      </c>
    </row>
    <row r="3" spans="1:19">
      <c r="A3" s="7">
        <v>1</v>
      </c>
      <c r="B3" s="8" t="s">
        <v>19</v>
      </c>
      <c r="C3" s="122" t="s">
        <v>20</v>
      </c>
      <c r="D3" s="10" t="s">
        <v>21</v>
      </c>
      <c r="E3" s="123" t="s">
        <v>22</v>
      </c>
      <c r="F3" s="124" t="s">
        <v>23</v>
      </c>
      <c r="G3" s="123" t="s">
        <v>24</v>
      </c>
      <c r="H3" s="13" t="s">
        <v>25</v>
      </c>
      <c r="I3" s="31"/>
      <c r="J3" s="123" t="s">
        <v>26</v>
      </c>
      <c r="K3" s="31">
        <v>1650</v>
      </c>
      <c r="L3" s="11">
        <v>4</v>
      </c>
      <c r="M3" s="31">
        <f>L3*400</f>
        <v>1600</v>
      </c>
      <c r="N3" s="53" t="s">
        <v>27</v>
      </c>
      <c r="O3" s="13">
        <v>0.0051</v>
      </c>
      <c r="P3" s="54">
        <f>O3*K3</f>
        <v>8.415</v>
      </c>
      <c r="Q3" s="31"/>
      <c r="R3" s="104"/>
      <c r="S3" s="105"/>
    </row>
    <row r="4" spans="1:19">
      <c r="A4" s="7">
        <f>A3+1</f>
        <v>2</v>
      </c>
      <c r="B4" s="14"/>
      <c r="C4" s="125" t="s">
        <v>28</v>
      </c>
      <c r="D4" s="126" t="s">
        <v>29</v>
      </c>
      <c r="E4" s="126" t="s">
        <v>30</v>
      </c>
      <c r="F4" s="127" t="s">
        <v>31</v>
      </c>
      <c r="G4" s="126" t="s">
        <v>32</v>
      </c>
      <c r="H4" s="18" t="s">
        <v>33</v>
      </c>
      <c r="I4" s="21"/>
      <c r="J4" s="126" t="s">
        <v>34</v>
      </c>
      <c r="K4" s="21">
        <v>420</v>
      </c>
      <c r="L4" s="16">
        <v>1</v>
      </c>
      <c r="M4" s="21">
        <f t="shared" ref="M4:M33" si="0">L4*400</f>
        <v>400</v>
      </c>
      <c r="N4" s="55" t="s">
        <v>27</v>
      </c>
      <c r="O4" s="18">
        <v>0.0682</v>
      </c>
      <c r="P4" s="56">
        <f t="shared" ref="P4:P33" si="1">O4*K4</f>
        <v>28.644</v>
      </c>
      <c r="Q4" s="21"/>
      <c r="R4" s="106"/>
      <c r="S4" s="105"/>
    </row>
    <row r="5" ht="15.75" spans="1:19">
      <c r="A5" s="7">
        <f t="shared" ref="A5:A33" si="2">A4+1</f>
        <v>3</v>
      </c>
      <c r="B5" s="14"/>
      <c r="C5" s="125" t="s">
        <v>35</v>
      </c>
      <c r="D5" s="126" t="s">
        <v>36</v>
      </c>
      <c r="E5" s="126" t="s">
        <v>22</v>
      </c>
      <c r="F5" s="127" t="s">
        <v>37</v>
      </c>
      <c r="G5" s="126" t="s">
        <v>38</v>
      </c>
      <c r="H5" s="19" t="s">
        <v>39</v>
      </c>
      <c r="I5" s="19" t="s">
        <v>40</v>
      </c>
      <c r="J5" s="126" t="s">
        <v>41</v>
      </c>
      <c r="K5" s="21">
        <v>3300</v>
      </c>
      <c r="L5" s="16">
        <v>8</v>
      </c>
      <c r="M5" s="21">
        <f t="shared" si="0"/>
        <v>3200</v>
      </c>
      <c r="N5" s="57" t="s">
        <v>27</v>
      </c>
      <c r="O5" s="18">
        <v>0.0021</v>
      </c>
      <c r="P5" s="56">
        <f t="shared" si="1"/>
        <v>6.93</v>
      </c>
      <c r="Q5" s="21"/>
      <c r="R5" s="106"/>
      <c r="S5" s="105"/>
    </row>
    <row r="6" ht="15.75" spans="1:19">
      <c r="A6" s="7">
        <f t="shared" si="2"/>
        <v>4</v>
      </c>
      <c r="B6" s="14"/>
      <c r="C6" s="128" t="s">
        <v>42</v>
      </c>
      <c r="D6" s="129" t="s">
        <v>43</v>
      </c>
      <c r="E6" s="129" t="s">
        <v>22</v>
      </c>
      <c r="F6" s="127" t="s">
        <v>44</v>
      </c>
      <c r="G6" s="130" t="s">
        <v>45</v>
      </c>
      <c r="H6" s="23" t="s">
        <v>46</v>
      </c>
      <c r="I6" s="127" t="s">
        <v>47</v>
      </c>
      <c r="J6" s="129" t="s">
        <v>48</v>
      </c>
      <c r="K6" s="21">
        <v>1300</v>
      </c>
      <c r="L6" s="22">
        <v>3</v>
      </c>
      <c r="M6" s="21">
        <f t="shared" si="0"/>
        <v>1200</v>
      </c>
      <c r="N6" s="131" t="s">
        <v>27</v>
      </c>
      <c r="O6" s="59">
        <v>0.0042</v>
      </c>
      <c r="P6" s="56">
        <f t="shared" si="1"/>
        <v>5.46</v>
      </c>
      <c r="Q6" s="21"/>
      <c r="R6" s="106"/>
      <c r="S6" s="105"/>
    </row>
    <row r="7" ht="15.75" spans="1:19">
      <c r="A7" s="7">
        <f t="shared" si="2"/>
        <v>5</v>
      </c>
      <c r="B7" s="14"/>
      <c r="C7" s="128" t="s">
        <v>49</v>
      </c>
      <c r="D7" s="129" t="s">
        <v>50</v>
      </c>
      <c r="E7" s="129" t="s">
        <v>22</v>
      </c>
      <c r="F7" s="127" t="s">
        <v>51</v>
      </c>
      <c r="G7" s="130" t="s">
        <v>52</v>
      </c>
      <c r="H7" s="23" t="s">
        <v>53</v>
      </c>
      <c r="I7" s="23" t="s">
        <v>54</v>
      </c>
      <c r="J7" s="129" t="s">
        <v>55</v>
      </c>
      <c r="K7" s="21">
        <v>420</v>
      </c>
      <c r="L7" s="22">
        <v>1</v>
      </c>
      <c r="M7" s="21">
        <f t="shared" si="0"/>
        <v>400</v>
      </c>
      <c r="N7" s="131" t="s">
        <v>27</v>
      </c>
      <c r="O7" s="60">
        <v>0.0302</v>
      </c>
      <c r="P7" s="56">
        <f t="shared" si="1"/>
        <v>12.684</v>
      </c>
      <c r="Q7" s="21"/>
      <c r="R7" s="106"/>
      <c r="S7" s="105"/>
    </row>
    <row r="8" ht="15.75" spans="1:19">
      <c r="A8" s="7">
        <f t="shared" si="2"/>
        <v>6</v>
      </c>
      <c r="B8" s="14"/>
      <c r="C8" s="128" t="s">
        <v>56</v>
      </c>
      <c r="D8" s="129" t="s">
        <v>57</v>
      </c>
      <c r="E8" s="129" t="s">
        <v>58</v>
      </c>
      <c r="F8" s="127" t="s">
        <v>59</v>
      </c>
      <c r="G8" s="130" t="s">
        <v>60</v>
      </c>
      <c r="H8" s="23" t="s">
        <v>61</v>
      </c>
      <c r="I8" s="132" t="s">
        <v>62</v>
      </c>
      <c r="J8" s="129" t="s">
        <v>63</v>
      </c>
      <c r="K8" s="21">
        <v>420</v>
      </c>
      <c r="L8" s="61">
        <v>1</v>
      </c>
      <c r="M8" s="21">
        <f t="shared" si="0"/>
        <v>400</v>
      </c>
      <c r="N8" s="133" t="s">
        <v>27</v>
      </c>
      <c r="O8" s="63">
        <v>0.0585</v>
      </c>
      <c r="P8" s="56">
        <f t="shared" si="1"/>
        <v>24.57</v>
      </c>
      <c r="Q8" s="107"/>
      <c r="R8" s="106"/>
      <c r="S8" s="105"/>
    </row>
    <row r="9" ht="15.75" spans="1:19">
      <c r="A9" s="7">
        <f t="shared" si="2"/>
        <v>7</v>
      </c>
      <c r="B9" s="14"/>
      <c r="C9" s="128" t="s">
        <v>64</v>
      </c>
      <c r="D9" s="129" t="s">
        <v>65</v>
      </c>
      <c r="E9" s="129" t="s">
        <v>58</v>
      </c>
      <c r="F9" s="127" t="s">
        <v>66</v>
      </c>
      <c r="G9" s="130" t="s">
        <v>60</v>
      </c>
      <c r="H9" s="23" t="s">
        <v>67</v>
      </c>
      <c r="I9" s="132" t="s">
        <v>62</v>
      </c>
      <c r="J9" s="129" t="s">
        <v>63</v>
      </c>
      <c r="K9" s="21">
        <v>850</v>
      </c>
      <c r="L9" s="61">
        <v>2</v>
      </c>
      <c r="M9" s="21">
        <f t="shared" si="0"/>
        <v>800</v>
      </c>
      <c r="N9" s="133" t="s">
        <v>27</v>
      </c>
      <c r="O9" s="63">
        <v>0.1257</v>
      </c>
      <c r="P9" s="56">
        <f t="shared" si="1"/>
        <v>106.845</v>
      </c>
      <c r="Q9" s="107"/>
      <c r="R9" s="106"/>
      <c r="S9" s="105"/>
    </row>
    <row r="10" ht="15.75" spans="1:19">
      <c r="A10" s="7">
        <f t="shared" si="2"/>
        <v>8</v>
      </c>
      <c r="B10" s="14"/>
      <c r="C10" s="128" t="s">
        <v>68</v>
      </c>
      <c r="D10" s="129" t="s">
        <v>69</v>
      </c>
      <c r="E10" s="129" t="s">
        <v>58</v>
      </c>
      <c r="F10" s="127" t="s">
        <v>70</v>
      </c>
      <c r="G10" s="130" t="s">
        <v>71</v>
      </c>
      <c r="H10" s="23" t="s">
        <v>72</v>
      </c>
      <c r="I10" s="132" t="s">
        <v>62</v>
      </c>
      <c r="J10" s="129" t="s">
        <v>73</v>
      </c>
      <c r="K10" s="21">
        <v>420</v>
      </c>
      <c r="L10" s="22">
        <v>1</v>
      </c>
      <c r="M10" s="21">
        <f t="shared" si="0"/>
        <v>400</v>
      </c>
      <c r="N10" s="131" t="s">
        <v>27</v>
      </c>
      <c r="O10" s="59">
        <v>0.0281</v>
      </c>
      <c r="P10" s="56">
        <f t="shared" si="1"/>
        <v>11.802</v>
      </c>
      <c r="Q10" s="21"/>
      <c r="R10" s="106"/>
      <c r="S10" s="105"/>
    </row>
    <row r="11" ht="15.75" spans="1:19">
      <c r="A11" s="7">
        <f t="shared" si="2"/>
        <v>9</v>
      </c>
      <c r="B11" s="14"/>
      <c r="C11" s="128" t="s">
        <v>74</v>
      </c>
      <c r="D11" s="129" t="s">
        <v>75</v>
      </c>
      <c r="E11" s="129" t="s">
        <v>76</v>
      </c>
      <c r="F11" s="127" t="s">
        <v>77</v>
      </c>
      <c r="G11" s="130" t="s">
        <v>78</v>
      </c>
      <c r="H11" s="23" t="s">
        <v>79</v>
      </c>
      <c r="I11" s="132" t="s">
        <v>62</v>
      </c>
      <c r="J11" s="129" t="s">
        <v>80</v>
      </c>
      <c r="K11" s="21">
        <v>420</v>
      </c>
      <c r="L11" s="22">
        <v>1</v>
      </c>
      <c r="M11" s="21">
        <f t="shared" si="0"/>
        <v>400</v>
      </c>
      <c r="N11" s="131" t="s">
        <v>27</v>
      </c>
      <c r="O11" s="59">
        <v>0.067</v>
      </c>
      <c r="P11" s="56">
        <f t="shared" si="1"/>
        <v>28.14</v>
      </c>
      <c r="Q11" s="108"/>
      <c r="R11" s="106"/>
      <c r="S11" s="109"/>
    </row>
    <row r="12" ht="15.75" spans="1:19">
      <c r="A12" s="7">
        <f t="shared" si="2"/>
        <v>10</v>
      </c>
      <c r="B12" s="24"/>
      <c r="C12" s="134" t="s">
        <v>81</v>
      </c>
      <c r="D12" s="135" t="s">
        <v>82</v>
      </c>
      <c r="E12" s="135" t="s">
        <v>83</v>
      </c>
      <c r="F12" s="136" t="s">
        <v>84</v>
      </c>
      <c r="G12" s="137" t="s">
        <v>85</v>
      </c>
      <c r="H12" s="29" t="s">
        <v>86</v>
      </c>
      <c r="I12" s="138" t="s">
        <v>62</v>
      </c>
      <c r="J12" s="135" t="s">
        <v>87</v>
      </c>
      <c r="K12" s="26">
        <v>450</v>
      </c>
      <c r="L12" s="28">
        <v>1</v>
      </c>
      <c r="M12" s="26">
        <f t="shared" si="0"/>
        <v>400</v>
      </c>
      <c r="N12" s="139" t="s">
        <v>27</v>
      </c>
      <c r="O12" s="65">
        <v>0.0153</v>
      </c>
      <c r="P12" s="66">
        <f t="shared" si="1"/>
        <v>6.885</v>
      </c>
      <c r="Q12" s="26"/>
      <c r="R12" s="110"/>
      <c r="S12" s="105"/>
    </row>
    <row r="13" ht="15.75" spans="1:19">
      <c r="A13" s="7">
        <f t="shared" si="2"/>
        <v>11</v>
      </c>
      <c r="B13" s="8" t="s">
        <v>88</v>
      </c>
      <c r="C13" s="140" t="s">
        <v>89</v>
      </c>
      <c r="D13" s="141" t="s">
        <v>90</v>
      </c>
      <c r="E13" s="141" t="s">
        <v>91</v>
      </c>
      <c r="F13" s="124" t="s">
        <v>92</v>
      </c>
      <c r="G13" s="141" t="s">
        <v>93</v>
      </c>
      <c r="H13" s="32" t="s">
        <v>94</v>
      </c>
      <c r="I13" s="142" t="s">
        <v>62</v>
      </c>
      <c r="J13" s="143" t="s">
        <v>95</v>
      </c>
      <c r="K13" s="31">
        <v>420</v>
      </c>
      <c r="L13" s="68">
        <v>1</v>
      </c>
      <c r="M13" s="31">
        <f t="shared" si="0"/>
        <v>400</v>
      </c>
      <c r="N13" s="144" t="s">
        <v>27</v>
      </c>
      <c r="O13" s="70">
        <v>0.1888</v>
      </c>
      <c r="P13" s="54">
        <f t="shared" si="1"/>
        <v>79.296</v>
      </c>
      <c r="Q13" s="31"/>
      <c r="R13" s="104"/>
      <c r="S13" s="105"/>
    </row>
    <row r="14" ht="15.75" spans="1:19">
      <c r="A14" s="7">
        <f t="shared" si="2"/>
        <v>12</v>
      </c>
      <c r="B14" s="24"/>
      <c r="C14" s="134" t="s">
        <v>96</v>
      </c>
      <c r="D14" s="135" t="s">
        <v>97</v>
      </c>
      <c r="E14" s="135" t="s">
        <v>98</v>
      </c>
      <c r="F14" s="136" t="s">
        <v>99</v>
      </c>
      <c r="G14" s="135" t="s">
        <v>100</v>
      </c>
      <c r="H14" s="138" t="s">
        <v>101</v>
      </c>
      <c r="I14" s="138" t="s">
        <v>62</v>
      </c>
      <c r="J14" s="137" t="s">
        <v>95</v>
      </c>
      <c r="K14" s="26">
        <v>420</v>
      </c>
      <c r="L14" s="71">
        <v>1</v>
      </c>
      <c r="M14" s="26">
        <f t="shared" si="0"/>
        <v>400</v>
      </c>
      <c r="N14" s="139" t="s">
        <v>27</v>
      </c>
      <c r="O14" s="72">
        <v>0.0203</v>
      </c>
      <c r="P14" s="66">
        <f t="shared" si="1"/>
        <v>8.526</v>
      </c>
      <c r="Q14" s="111"/>
      <c r="R14" s="110"/>
      <c r="S14" s="105"/>
    </row>
    <row r="15" ht="15.75" spans="1:19">
      <c r="A15" s="7">
        <f t="shared" si="2"/>
        <v>13</v>
      </c>
      <c r="B15" s="33" t="s">
        <v>102</v>
      </c>
      <c r="C15" s="145" t="s">
        <v>103</v>
      </c>
      <c r="D15" s="146" t="s">
        <v>104</v>
      </c>
      <c r="E15" s="146" t="s">
        <v>105</v>
      </c>
      <c r="F15" s="146" t="s">
        <v>106</v>
      </c>
      <c r="G15" s="147" t="s">
        <v>107</v>
      </c>
      <c r="H15" s="147" t="s">
        <v>62</v>
      </c>
      <c r="I15" s="146" t="s">
        <v>62</v>
      </c>
      <c r="J15" s="147" t="s">
        <v>95</v>
      </c>
      <c r="K15" s="36">
        <v>420</v>
      </c>
      <c r="L15" s="36">
        <v>1</v>
      </c>
      <c r="M15" s="35">
        <f t="shared" si="0"/>
        <v>400</v>
      </c>
      <c r="N15" s="148" t="s">
        <v>108</v>
      </c>
      <c r="O15" s="74">
        <v>0.08158</v>
      </c>
      <c r="P15" s="75">
        <f t="shared" si="1"/>
        <v>34.2636</v>
      </c>
      <c r="Q15" s="112"/>
      <c r="R15" s="113">
        <v>0.189</v>
      </c>
      <c r="S15" s="105"/>
    </row>
    <row r="16" ht="15.75" spans="1:19">
      <c r="A16" s="7">
        <f t="shared" si="2"/>
        <v>14</v>
      </c>
      <c r="B16" s="33" t="s">
        <v>109</v>
      </c>
      <c r="C16" s="149" t="s">
        <v>110</v>
      </c>
      <c r="D16" s="150" t="s">
        <v>111</v>
      </c>
      <c r="E16" s="150" t="s">
        <v>58</v>
      </c>
      <c r="F16" s="150" t="s">
        <v>112</v>
      </c>
      <c r="G16" s="150" t="s">
        <v>113</v>
      </c>
      <c r="H16" s="38"/>
      <c r="I16" s="38"/>
      <c r="J16" s="150" t="s">
        <v>95</v>
      </c>
      <c r="K16" s="38">
        <v>420</v>
      </c>
      <c r="L16" s="38">
        <v>1</v>
      </c>
      <c r="M16" s="38">
        <f t="shared" si="0"/>
        <v>400</v>
      </c>
      <c r="N16" s="76" t="s">
        <v>114</v>
      </c>
      <c r="O16" s="77">
        <v>0.93324</v>
      </c>
      <c r="P16" s="78">
        <f t="shared" si="1"/>
        <v>391.9608</v>
      </c>
      <c r="Q16" s="38"/>
      <c r="R16" s="114">
        <v>0.977</v>
      </c>
      <c r="S16" s="105"/>
    </row>
    <row r="17" ht="15.75" spans="1:19">
      <c r="A17" s="7">
        <f t="shared" si="2"/>
        <v>15</v>
      </c>
      <c r="B17" s="8" t="s">
        <v>115</v>
      </c>
      <c r="C17" s="151" t="s">
        <v>116</v>
      </c>
      <c r="D17" s="124" t="s">
        <v>117</v>
      </c>
      <c r="E17" s="124" t="s">
        <v>118</v>
      </c>
      <c r="F17" s="124" t="s">
        <v>119</v>
      </c>
      <c r="G17" s="142" t="s">
        <v>85</v>
      </c>
      <c r="H17" s="32" t="s">
        <v>120</v>
      </c>
      <c r="I17" s="124" t="s">
        <v>62</v>
      </c>
      <c r="J17" s="124" t="s">
        <v>121</v>
      </c>
      <c r="K17" s="12">
        <v>900</v>
      </c>
      <c r="L17" s="12">
        <v>2</v>
      </c>
      <c r="M17" s="12">
        <f t="shared" si="0"/>
        <v>800</v>
      </c>
      <c r="N17" s="152" t="s">
        <v>27</v>
      </c>
      <c r="O17" s="80">
        <v>0.0015</v>
      </c>
      <c r="P17" s="54">
        <f t="shared" si="1"/>
        <v>1.35</v>
      </c>
      <c r="Q17" s="12"/>
      <c r="R17" s="104"/>
      <c r="S17" s="105"/>
    </row>
    <row r="18" ht="15.75" spans="1:19">
      <c r="A18" s="7">
        <f t="shared" si="2"/>
        <v>16</v>
      </c>
      <c r="B18" s="14"/>
      <c r="C18" s="153" t="s">
        <v>122</v>
      </c>
      <c r="D18" s="17" t="s">
        <v>123</v>
      </c>
      <c r="E18" s="127" t="s">
        <v>118</v>
      </c>
      <c r="F18" s="127" t="s">
        <v>124</v>
      </c>
      <c r="G18" s="132" t="s">
        <v>85</v>
      </c>
      <c r="H18" s="23" t="s">
        <v>125</v>
      </c>
      <c r="I18" s="127" t="s">
        <v>62</v>
      </c>
      <c r="J18" s="127" t="s">
        <v>126</v>
      </c>
      <c r="K18" s="17">
        <v>900</v>
      </c>
      <c r="L18" s="17">
        <v>2</v>
      </c>
      <c r="M18" s="17">
        <f t="shared" si="0"/>
        <v>800</v>
      </c>
      <c r="N18" s="154" t="s">
        <v>27</v>
      </c>
      <c r="O18" s="82">
        <v>0.0012</v>
      </c>
      <c r="P18" s="56">
        <f t="shared" si="1"/>
        <v>1.08</v>
      </c>
      <c r="Q18" s="17"/>
      <c r="R18" s="106"/>
      <c r="S18" s="105"/>
    </row>
    <row r="19" ht="15.75" spans="1:19">
      <c r="A19" s="7">
        <f t="shared" si="2"/>
        <v>17</v>
      </c>
      <c r="B19" s="14"/>
      <c r="C19" s="153" t="s">
        <v>127</v>
      </c>
      <c r="D19" s="17" t="s">
        <v>128</v>
      </c>
      <c r="E19" s="127" t="s">
        <v>118</v>
      </c>
      <c r="F19" s="127" t="s">
        <v>129</v>
      </c>
      <c r="G19" s="132" t="s">
        <v>85</v>
      </c>
      <c r="H19" s="23" t="s">
        <v>130</v>
      </c>
      <c r="I19" s="127" t="s">
        <v>62</v>
      </c>
      <c r="J19" s="127" t="s">
        <v>131</v>
      </c>
      <c r="K19" s="17">
        <v>1300</v>
      </c>
      <c r="L19" s="17">
        <v>3</v>
      </c>
      <c r="M19" s="17">
        <f t="shared" si="0"/>
        <v>1200</v>
      </c>
      <c r="N19" s="154" t="s">
        <v>27</v>
      </c>
      <c r="O19" s="82">
        <v>0.001</v>
      </c>
      <c r="P19" s="56">
        <f t="shared" si="1"/>
        <v>1.3</v>
      </c>
      <c r="Q19" s="17"/>
      <c r="R19" s="106"/>
      <c r="S19" s="105"/>
    </row>
    <row r="20" ht="15.75" spans="1:19">
      <c r="A20" s="7">
        <f t="shared" si="2"/>
        <v>18</v>
      </c>
      <c r="B20" s="14"/>
      <c r="C20" s="153" t="s">
        <v>132</v>
      </c>
      <c r="D20" s="127" t="s">
        <v>133</v>
      </c>
      <c r="E20" s="127" t="s">
        <v>134</v>
      </c>
      <c r="F20" s="127" t="s">
        <v>135</v>
      </c>
      <c r="G20" s="132" t="s">
        <v>136</v>
      </c>
      <c r="H20" s="23" t="s">
        <v>137</v>
      </c>
      <c r="I20" s="127" t="s">
        <v>62</v>
      </c>
      <c r="J20" s="127" t="s">
        <v>138</v>
      </c>
      <c r="K20" s="17">
        <v>820</v>
      </c>
      <c r="L20" s="17">
        <v>2</v>
      </c>
      <c r="M20" s="17">
        <f t="shared" si="0"/>
        <v>800</v>
      </c>
      <c r="N20" s="154" t="s">
        <v>27</v>
      </c>
      <c r="O20" s="43">
        <v>0.0215</v>
      </c>
      <c r="P20" s="56">
        <f t="shared" si="1"/>
        <v>17.63</v>
      </c>
      <c r="Q20" s="17"/>
      <c r="R20" s="106"/>
      <c r="S20" s="105"/>
    </row>
    <row r="21" ht="15.75" spans="1:19">
      <c r="A21" s="7">
        <f t="shared" si="2"/>
        <v>19</v>
      </c>
      <c r="B21" s="14"/>
      <c r="C21" s="153" t="s">
        <v>139</v>
      </c>
      <c r="D21" s="127" t="s">
        <v>140</v>
      </c>
      <c r="E21" s="127" t="s">
        <v>134</v>
      </c>
      <c r="F21" s="127" t="s">
        <v>141</v>
      </c>
      <c r="G21" s="132" t="s">
        <v>142</v>
      </c>
      <c r="H21" s="23" t="s">
        <v>143</v>
      </c>
      <c r="I21" s="132" t="s">
        <v>144</v>
      </c>
      <c r="J21" s="127" t="s">
        <v>145</v>
      </c>
      <c r="K21" s="17">
        <v>420</v>
      </c>
      <c r="L21" s="17">
        <v>1</v>
      </c>
      <c r="M21" s="17">
        <f t="shared" si="0"/>
        <v>400</v>
      </c>
      <c r="N21" s="154" t="s">
        <v>27</v>
      </c>
      <c r="O21" s="82">
        <v>0.0824</v>
      </c>
      <c r="P21" s="56">
        <f t="shared" si="1"/>
        <v>34.608</v>
      </c>
      <c r="Q21" s="17"/>
      <c r="R21" s="106"/>
      <c r="S21" s="105"/>
    </row>
    <row r="22" spans="1:19">
      <c r="A22" s="7">
        <f t="shared" si="2"/>
        <v>20</v>
      </c>
      <c r="B22" s="14"/>
      <c r="C22" s="153" t="s">
        <v>146</v>
      </c>
      <c r="D22" s="127" t="s">
        <v>147</v>
      </c>
      <c r="E22" s="127" t="s">
        <v>30</v>
      </c>
      <c r="F22" s="127" t="s">
        <v>148</v>
      </c>
      <c r="G22" s="132" t="s">
        <v>149</v>
      </c>
      <c r="H22" s="23" t="s">
        <v>150</v>
      </c>
      <c r="I22" s="127" t="s">
        <v>62</v>
      </c>
      <c r="J22" s="127" t="s">
        <v>151</v>
      </c>
      <c r="K22" s="17">
        <v>500</v>
      </c>
      <c r="L22" s="17">
        <v>1</v>
      </c>
      <c r="M22" s="17">
        <f t="shared" si="0"/>
        <v>400</v>
      </c>
      <c r="N22" s="154" t="s">
        <v>27</v>
      </c>
      <c r="O22" s="82">
        <v>0.0028</v>
      </c>
      <c r="P22" s="56">
        <f t="shared" si="1"/>
        <v>1.4</v>
      </c>
      <c r="Q22" s="17"/>
      <c r="R22" s="106"/>
      <c r="S22" s="105"/>
    </row>
    <row r="23" spans="1:19">
      <c r="A23" s="7">
        <f t="shared" si="2"/>
        <v>21</v>
      </c>
      <c r="B23" s="24"/>
      <c r="C23" s="155" t="s">
        <v>152</v>
      </c>
      <c r="D23" s="42" t="s">
        <v>153</v>
      </c>
      <c r="E23" s="136" t="s">
        <v>118</v>
      </c>
      <c r="F23" s="136" t="s">
        <v>154</v>
      </c>
      <c r="G23" s="138" t="s">
        <v>85</v>
      </c>
      <c r="H23" s="29" t="s">
        <v>155</v>
      </c>
      <c r="I23" s="136" t="s">
        <v>62</v>
      </c>
      <c r="J23" s="136" t="s">
        <v>156</v>
      </c>
      <c r="K23" s="27">
        <v>3300</v>
      </c>
      <c r="L23" s="29">
        <v>8</v>
      </c>
      <c r="M23" s="27">
        <f t="shared" si="0"/>
        <v>3200</v>
      </c>
      <c r="N23" s="83" t="s">
        <v>27</v>
      </c>
      <c r="O23" s="72">
        <v>0.0015</v>
      </c>
      <c r="P23" s="66">
        <f t="shared" si="1"/>
        <v>4.95</v>
      </c>
      <c r="Q23" s="27"/>
      <c r="R23" s="110"/>
      <c r="S23" s="105"/>
    </row>
    <row r="24" spans="1:19">
      <c r="A24" s="7">
        <f t="shared" si="2"/>
        <v>22</v>
      </c>
      <c r="B24" s="8" t="s">
        <v>157</v>
      </c>
      <c r="C24" s="151" t="s">
        <v>158</v>
      </c>
      <c r="D24" s="124" t="s">
        <v>159</v>
      </c>
      <c r="E24" s="124" t="s">
        <v>160</v>
      </c>
      <c r="F24" s="124" t="s">
        <v>161</v>
      </c>
      <c r="G24" s="142" t="s">
        <v>162</v>
      </c>
      <c r="H24" s="142" t="s">
        <v>62</v>
      </c>
      <c r="I24" s="124" t="s">
        <v>62</v>
      </c>
      <c r="J24" s="142" t="s">
        <v>95</v>
      </c>
      <c r="K24" s="32">
        <v>420</v>
      </c>
      <c r="L24" s="32">
        <v>1</v>
      </c>
      <c r="M24" s="12">
        <f t="shared" si="0"/>
        <v>400</v>
      </c>
      <c r="N24" s="84" t="s">
        <v>163</v>
      </c>
      <c r="O24" s="80">
        <v>1</v>
      </c>
      <c r="P24" s="54">
        <f t="shared" si="1"/>
        <v>420</v>
      </c>
      <c r="Q24" s="12"/>
      <c r="R24" s="104">
        <v>2.8347</v>
      </c>
      <c r="S24" s="105"/>
    </row>
    <row r="25" ht="15.75" spans="1:19">
      <c r="A25" s="7">
        <f t="shared" si="2"/>
        <v>23</v>
      </c>
      <c r="B25" s="14"/>
      <c r="C25" s="153" t="s">
        <v>164</v>
      </c>
      <c r="D25" s="127" t="s">
        <v>165</v>
      </c>
      <c r="E25" s="127" t="s">
        <v>166</v>
      </c>
      <c r="F25" s="127" t="s">
        <v>167</v>
      </c>
      <c r="G25" s="132" t="s">
        <v>168</v>
      </c>
      <c r="H25" s="23" t="s">
        <v>169</v>
      </c>
      <c r="I25" s="127" t="s">
        <v>62</v>
      </c>
      <c r="J25" s="132" t="s">
        <v>95</v>
      </c>
      <c r="K25" s="23">
        <v>420</v>
      </c>
      <c r="L25" s="23">
        <v>1</v>
      </c>
      <c r="M25" s="17">
        <f t="shared" si="0"/>
        <v>400</v>
      </c>
      <c r="N25" s="154" t="s">
        <v>27</v>
      </c>
      <c r="O25" s="82">
        <v>0.1823</v>
      </c>
      <c r="P25" s="56">
        <f t="shared" si="1"/>
        <v>76.566</v>
      </c>
      <c r="Q25" s="17"/>
      <c r="R25" s="106"/>
      <c r="S25" s="105"/>
    </row>
    <row r="26" ht="15.75" spans="1:19">
      <c r="A26" s="7">
        <f t="shared" si="2"/>
        <v>24</v>
      </c>
      <c r="B26" s="24"/>
      <c r="C26" s="155" t="s">
        <v>170</v>
      </c>
      <c r="D26" s="136" t="s">
        <v>171</v>
      </c>
      <c r="E26" s="136" t="s">
        <v>172</v>
      </c>
      <c r="F26" s="136" t="s">
        <v>173</v>
      </c>
      <c r="G26" s="138" t="s">
        <v>174</v>
      </c>
      <c r="H26" s="29" t="s">
        <v>175</v>
      </c>
      <c r="I26" s="136" t="s">
        <v>62</v>
      </c>
      <c r="J26" s="29"/>
      <c r="K26" s="29">
        <v>420</v>
      </c>
      <c r="L26" s="29">
        <v>1</v>
      </c>
      <c r="M26" s="27">
        <f t="shared" si="0"/>
        <v>400</v>
      </c>
      <c r="N26" s="156" t="s">
        <v>27</v>
      </c>
      <c r="O26" s="72">
        <v>0.1141</v>
      </c>
      <c r="P26" s="66">
        <f t="shared" si="1"/>
        <v>47.922</v>
      </c>
      <c r="Q26" s="111"/>
      <c r="R26" s="110"/>
      <c r="S26" s="105"/>
    </row>
    <row r="27" ht="15.75" spans="1:19">
      <c r="A27" s="7">
        <f t="shared" si="2"/>
        <v>25</v>
      </c>
      <c r="B27" s="8" t="s">
        <v>176</v>
      </c>
      <c r="C27" s="151" t="s">
        <v>177</v>
      </c>
      <c r="D27" s="124" t="s">
        <v>178</v>
      </c>
      <c r="E27" s="124" t="s">
        <v>179</v>
      </c>
      <c r="F27" s="124" t="s">
        <v>179</v>
      </c>
      <c r="G27" s="124" t="s">
        <v>180</v>
      </c>
      <c r="H27" s="12"/>
      <c r="I27" s="12"/>
      <c r="J27" s="12"/>
      <c r="K27" s="12">
        <v>420</v>
      </c>
      <c r="L27" s="12">
        <v>1</v>
      </c>
      <c r="M27" s="12">
        <f t="shared" si="0"/>
        <v>400</v>
      </c>
      <c r="N27" s="86" t="s">
        <v>181</v>
      </c>
      <c r="O27" s="80">
        <v>0.329</v>
      </c>
      <c r="P27" s="54">
        <f t="shared" si="1"/>
        <v>138.18</v>
      </c>
      <c r="Q27" s="115"/>
      <c r="R27" s="104"/>
      <c r="S27" s="105"/>
    </row>
    <row r="28" ht="15.75" spans="1:19">
      <c r="A28" s="7">
        <f t="shared" si="2"/>
        <v>26</v>
      </c>
      <c r="B28" s="14"/>
      <c r="C28" s="153" t="s">
        <v>182</v>
      </c>
      <c r="D28" s="127" t="s">
        <v>183</v>
      </c>
      <c r="E28" s="127" t="s">
        <v>58</v>
      </c>
      <c r="F28" s="127" t="s">
        <v>184</v>
      </c>
      <c r="G28" s="127" t="s">
        <v>185</v>
      </c>
      <c r="H28" s="17"/>
      <c r="I28" s="17"/>
      <c r="J28" s="23"/>
      <c r="K28" s="23">
        <v>820</v>
      </c>
      <c r="L28" s="17">
        <v>2</v>
      </c>
      <c r="M28" s="17">
        <f t="shared" si="0"/>
        <v>800</v>
      </c>
      <c r="N28" s="87" t="s">
        <v>186</v>
      </c>
      <c r="O28" s="88">
        <v>0.75</v>
      </c>
      <c r="P28" s="56">
        <f t="shared" si="1"/>
        <v>615</v>
      </c>
      <c r="Q28" s="108"/>
      <c r="R28" s="106"/>
      <c r="S28" s="105"/>
    </row>
    <row r="29" ht="15.75" spans="1:19">
      <c r="A29" s="7">
        <f t="shared" si="2"/>
        <v>27</v>
      </c>
      <c r="B29" s="14"/>
      <c r="C29" s="153" t="s">
        <v>187</v>
      </c>
      <c r="D29" s="127" t="s">
        <v>188</v>
      </c>
      <c r="E29" s="127" t="s">
        <v>58</v>
      </c>
      <c r="F29" s="127" t="s">
        <v>189</v>
      </c>
      <c r="G29" s="127" t="s">
        <v>180</v>
      </c>
      <c r="H29" s="17"/>
      <c r="I29" s="17"/>
      <c r="J29" s="23"/>
      <c r="K29" s="23">
        <v>420</v>
      </c>
      <c r="L29" s="17">
        <v>1</v>
      </c>
      <c r="M29" s="17">
        <f t="shared" si="0"/>
        <v>400</v>
      </c>
      <c r="N29" s="87" t="s">
        <v>181</v>
      </c>
      <c r="O29" s="89">
        <v>0.169</v>
      </c>
      <c r="P29" s="56">
        <f t="shared" si="1"/>
        <v>70.98</v>
      </c>
      <c r="Q29" s="108"/>
      <c r="R29" s="106"/>
      <c r="S29" s="105"/>
    </row>
    <row r="30" ht="15.75" spans="1:19">
      <c r="A30" s="7">
        <f t="shared" si="2"/>
        <v>28</v>
      </c>
      <c r="B30" s="14"/>
      <c r="C30" s="153" t="s">
        <v>190</v>
      </c>
      <c r="D30" s="127" t="s">
        <v>191</v>
      </c>
      <c r="E30" s="127" t="s">
        <v>192</v>
      </c>
      <c r="F30" s="127" t="s">
        <v>193</v>
      </c>
      <c r="G30" s="127" t="s">
        <v>194</v>
      </c>
      <c r="H30" s="43" t="s">
        <v>195</v>
      </c>
      <c r="I30" s="17"/>
      <c r="J30" s="23"/>
      <c r="K30" s="23">
        <v>420</v>
      </c>
      <c r="L30" s="17">
        <v>1</v>
      </c>
      <c r="M30" s="17">
        <f t="shared" si="0"/>
        <v>400</v>
      </c>
      <c r="N30" s="87" t="s">
        <v>27</v>
      </c>
      <c r="O30" s="43">
        <v>0.0151</v>
      </c>
      <c r="P30" s="56">
        <f t="shared" si="1"/>
        <v>6.342</v>
      </c>
      <c r="Q30" s="108"/>
      <c r="R30" s="106"/>
      <c r="S30" s="105"/>
    </row>
    <row r="31" ht="15.75" spans="1:19">
      <c r="A31" s="7">
        <f t="shared" si="2"/>
        <v>29</v>
      </c>
      <c r="B31" s="14"/>
      <c r="C31" s="153" t="s">
        <v>196</v>
      </c>
      <c r="D31" s="127" t="s">
        <v>197</v>
      </c>
      <c r="E31" s="127" t="s">
        <v>198</v>
      </c>
      <c r="F31" s="127" t="s">
        <v>199</v>
      </c>
      <c r="G31" s="127" t="s">
        <v>200</v>
      </c>
      <c r="H31" s="23" t="s">
        <v>201</v>
      </c>
      <c r="I31" s="127" t="s">
        <v>62</v>
      </c>
      <c r="J31" s="132" t="s">
        <v>95</v>
      </c>
      <c r="K31" s="23">
        <v>850</v>
      </c>
      <c r="L31" s="23">
        <v>2</v>
      </c>
      <c r="M31" s="17">
        <f t="shared" si="0"/>
        <v>800</v>
      </c>
      <c r="N31" s="157" t="s">
        <v>27</v>
      </c>
      <c r="O31" s="82">
        <v>0.0706</v>
      </c>
      <c r="P31" s="56">
        <f t="shared" si="1"/>
        <v>60.01</v>
      </c>
      <c r="Q31" s="17"/>
      <c r="R31" s="106"/>
      <c r="S31" s="105"/>
    </row>
    <row r="32" ht="15.75" spans="1:19">
      <c r="A32" s="7">
        <f t="shared" si="2"/>
        <v>30</v>
      </c>
      <c r="B32" s="14"/>
      <c r="C32" s="158" t="s">
        <v>202</v>
      </c>
      <c r="D32" s="45" t="s">
        <v>203</v>
      </c>
      <c r="E32" s="159" t="s">
        <v>204</v>
      </c>
      <c r="F32" s="45" t="s">
        <v>204</v>
      </c>
      <c r="G32" s="45"/>
      <c r="H32" s="45"/>
      <c r="I32" s="45"/>
      <c r="J32" s="45"/>
      <c r="K32" s="45"/>
      <c r="L32" s="45">
        <v>5</v>
      </c>
      <c r="M32" s="90">
        <f t="shared" si="0"/>
        <v>2000</v>
      </c>
      <c r="N32" s="45"/>
      <c r="O32" s="91"/>
      <c r="P32" s="92">
        <f t="shared" si="1"/>
        <v>0</v>
      </c>
      <c r="Q32" s="116" t="s">
        <v>205</v>
      </c>
      <c r="R32" s="117"/>
      <c r="S32" s="105"/>
    </row>
    <row r="33" ht="15.75" spans="1:19">
      <c r="A33" s="7">
        <f t="shared" si="2"/>
        <v>31</v>
      </c>
      <c r="B33" s="24"/>
      <c r="C33" s="160" t="s">
        <v>206</v>
      </c>
      <c r="D33" s="47" t="s">
        <v>207</v>
      </c>
      <c r="E33" s="161" t="s">
        <v>208</v>
      </c>
      <c r="F33" s="47" t="s">
        <v>208</v>
      </c>
      <c r="G33" s="47"/>
      <c r="H33" s="47"/>
      <c r="I33" s="47"/>
      <c r="J33" s="47"/>
      <c r="K33" s="47"/>
      <c r="L33" s="47">
        <v>5</v>
      </c>
      <c r="M33" s="93">
        <f t="shared" si="0"/>
        <v>2000</v>
      </c>
      <c r="N33" s="47"/>
      <c r="O33" s="94"/>
      <c r="P33" s="95">
        <f t="shared" si="1"/>
        <v>0</v>
      </c>
      <c r="Q33" s="118" t="s">
        <v>205</v>
      </c>
      <c r="R33" s="119"/>
      <c r="S33" s="105"/>
    </row>
    <row r="34" ht="15.75" spans="1:19">
      <c r="A34"/>
      <c r="C34" s="48"/>
      <c r="D34" s="48"/>
      <c r="E34" s="48"/>
      <c r="F34" s="48"/>
      <c r="G34" s="48"/>
      <c r="H34" s="48"/>
      <c r="I34" s="48"/>
      <c r="J34" s="48"/>
      <c r="K34" s="48"/>
      <c r="L34" s="96" t="s">
        <v>209</v>
      </c>
      <c r="M34" s="97"/>
      <c r="N34" s="97"/>
      <c r="O34" s="97"/>
      <c r="P34" s="98">
        <f>SUM(P3:P33)</f>
        <v>2251.7394</v>
      </c>
      <c r="Q34" s="48"/>
      <c r="R34" s="48"/>
      <c r="S34" s="105"/>
    </row>
    <row r="35" ht="15.75" spans="1:19">
      <c r="A35"/>
      <c r="C35" s="48"/>
      <c r="D35" s="48"/>
      <c r="E35" s="48"/>
      <c r="F35" s="48"/>
      <c r="G35" s="48"/>
      <c r="H35" s="48"/>
      <c r="I35" s="48"/>
      <c r="J35" s="48"/>
      <c r="K35" s="48"/>
      <c r="L35" s="99" t="s">
        <v>210</v>
      </c>
      <c r="M35" s="100"/>
      <c r="N35" s="100"/>
      <c r="O35" s="100"/>
      <c r="P35" s="101">
        <f>P34/400</f>
        <v>5.6293485</v>
      </c>
      <c r="Q35" s="48"/>
      <c r="R35" s="48"/>
      <c r="S35" s="105"/>
    </row>
    <row r="36" spans="1:19">
      <c r="A36"/>
      <c r="R36" s="105"/>
      <c r="S36" s="105"/>
    </row>
    <row r="37" spans="1:19">
      <c r="A37"/>
      <c r="R37" s="105"/>
      <c r="S37" s="105"/>
    </row>
    <row r="38" spans="1:19">
      <c r="A38"/>
      <c r="R38" s="105"/>
      <c r="S38" s="105"/>
    </row>
    <row r="39" spans="1:19">
      <c r="A39"/>
      <c r="R39" s="105"/>
      <c r="S39" s="105"/>
    </row>
    <row r="40" spans="1:19">
      <c r="A40"/>
      <c r="R40" s="105"/>
      <c r="S40" s="105"/>
    </row>
    <row r="41" spans="1:19">
      <c r="A41"/>
      <c r="R41" s="105"/>
      <c r="S41" s="105"/>
    </row>
    <row r="42" spans="1:19">
      <c r="A42"/>
      <c r="E42" t="s">
        <v>211</v>
      </c>
      <c r="R42" s="105"/>
      <c r="S42" s="105"/>
    </row>
    <row r="43" ht="15.75" customHeight="1" spans="1:19">
      <c r="A43"/>
      <c r="R43" s="105"/>
      <c r="S43" s="105"/>
    </row>
    <row r="44" spans="1:19">
      <c r="A44"/>
      <c r="R44" s="105"/>
      <c r="S44" s="105"/>
    </row>
    <row r="45" spans="1:19">
      <c r="A45"/>
      <c r="R45" s="105"/>
      <c r="S45" s="105"/>
    </row>
    <row r="46" spans="1:19">
      <c r="A46"/>
      <c r="R46" s="105"/>
      <c r="S46" s="105"/>
    </row>
    <row r="47" spans="1:19">
      <c r="A47"/>
      <c r="R47" s="105"/>
      <c r="S47" s="105"/>
    </row>
    <row r="48" spans="1:19">
      <c r="A48"/>
      <c r="R48" s="105"/>
      <c r="S48" s="105"/>
    </row>
    <row r="49" spans="8:17">
      <c r="H49" s="49"/>
      <c r="Q49" s="120"/>
    </row>
    <row r="50" spans="8:17">
      <c r="H50" s="49"/>
      <c r="Q50" s="120"/>
    </row>
  </sheetData>
  <mergeCells count="8">
    <mergeCell ref="A1:R1"/>
    <mergeCell ref="L34:O34"/>
    <mergeCell ref="L35:O35"/>
    <mergeCell ref="B3:B12"/>
    <mergeCell ref="B13:B14"/>
    <mergeCell ref="B17:B23"/>
    <mergeCell ref="B24:B26"/>
    <mergeCell ref="B27:B33"/>
  </mergeCells>
  <conditionalFormatting sqref="Q11">
    <cfRule type="dataBar" priority="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{c74b87f2-ce14-491b-84e1-06e8048f6b06}</x14:id>
        </ext>
      </extLst>
    </cfRule>
  </conditionalFormatting>
  <conditionalFormatting sqref="Q15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{7ca57324-caec-4b95-afa1-571fad1f065e}</x14:id>
        </ext>
      </extLst>
    </cfRule>
  </conditionalFormatting>
  <conditionalFormatting sqref="N1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{9727f6dd-832b-4e53-b952-ba82a5d4789a}</x14:id>
        </ext>
      </extLst>
    </cfRule>
  </conditionalFormatting>
  <conditionalFormatting sqref="L27:M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2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{8f0627ec-9e46-490d-8337-4afcd6a94aca}</x14:id>
        </ext>
      </extLst>
    </cfRule>
  </conditionalFormatting>
  <conditionalFormatting sqref="L3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3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{f9379b80-dd0e-4c4f-bd4f-b563c9cc9df4}</x14:id>
        </ext>
      </extLst>
    </cfRule>
  </conditionalFormatting>
  <conditionalFormatting sqref="P35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{54c13508-4b69-4979-b79b-bf833a04a08f}</x14:id>
        </ext>
      </extLst>
    </cfRule>
  </conditionalFormatting>
  <conditionalFormatting sqref="L6:L10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{b79db715-26b6-477c-a2bd-b4e05b3329d5}</x14:id>
        </ext>
      </extLst>
    </cfRule>
  </conditionalFormatting>
  <conditionalFormatting sqref="N23:N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{2e387700-2475-4f55-ab7b-24274a2284a5}</x14:id>
        </ext>
      </extLst>
    </cfRule>
  </conditionalFormatting>
  <conditionalFormatting sqref="P3:P33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{d68a17a8-314a-4563-8813-d56e443f2953}</x14:id>
        </ext>
      </extLst>
    </cfRule>
  </conditionalFormatting>
  <conditionalFormatting sqref="Q27:Q30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{fa569f89-d7ca-46cf-933e-d8c90500c260}</x14:id>
        </ext>
      </extLst>
    </cfRule>
  </conditionalFormatting>
  <conditionalFormatting sqref="M3:M26 M28:M33 L31 L11:L2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N8" r:id="rId1" display="LCSC"/>
    <hyperlink ref="N9" r:id="rId2" display="LCSC"/>
    <hyperlink ref="N10" r:id="rId3" display="LCSC"/>
    <hyperlink ref="N11" r:id="rId4" display="LCSC"/>
    <hyperlink ref="N12" r:id="rId5" display="LCSC"/>
    <hyperlink ref="N13" r:id="rId6" display="LCSC"/>
    <hyperlink ref="N14" r:id="rId7" display="LCSC"/>
    <hyperlink ref="N15" r:id="rId8" display="Utsource"/>
    <hyperlink ref="N17" r:id="rId9" display="LCSC"/>
    <hyperlink ref="N18" r:id="rId10" display="LCSC"/>
    <hyperlink ref="N19" r:id="rId11" display="LCSC"/>
    <hyperlink ref="N20" r:id="rId12" display="LCSC"/>
    <hyperlink ref="N22" r:id="rId13" display="LCSC"/>
    <hyperlink ref="N23" r:id="rId14" display="LCSC"/>
    <hyperlink ref="N25" r:id="rId15" display="LCSC"/>
    <hyperlink ref="N26" r:id="rId16" display="LCSC"/>
    <hyperlink ref="N31" r:id="rId17" display="LCSC"/>
    <hyperlink ref="N6" r:id="rId18" display="LCSC"/>
    <hyperlink ref="N7" r:id="rId19" display="LCSC"/>
    <hyperlink ref="N21" r:id="rId20" display="LCSC"/>
    <hyperlink ref="N24" r:id="rId21" display="Alibaba"/>
    <hyperlink ref="N3" r:id="rId22" display="LCSC"/>
    <hyperlink ref="N4" r:id="rId23" display="LCSC"/>
    <hyperlink ref="N5" r:id="rId24" display="LCSC"/>
    <hyperlink ref="N27" r:id="rId25" display="Aliexpress"/>
    <hyperlink ref="N29" r:id="rId26" display="Aliexpress"/>
    <hyperlink ref="N30" r:id="rId27" display="LCSC"/>
    <hyperlink ref="N16" r:id="rId28" display="Digikey"/>
  </hyperlinks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4b87f2-ce14-491b-84e1-06e8048f6b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7ca57324-caec-4b95-afa1-571fad1f06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9727f6dd-832b-4e53-b952-ba82a5d478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8f0627ec-9e46-490d-8337-4afcd6a94a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f9379b80-dd0e-4c4f-bd4f-b563c9cc9df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4c13508-4b69-4979-b79b-bf833a04a0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P35</xm:sqref>
        </x14:conditionalFormatting>
        <x14:conditionalFormatting xmlns:xm="http://schemas.microsoft.com/office/excel/2006/main">
          <x14:cfRule type="dataBar" id="{b79db715-26b6-477c-a2bd-b4e05b3329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N3:N4</xm:sqref>
        </x14:conditionalFormatting>
        <x14:conditionalFormatting xmlns:xm="http://schemas.microsoft.com/office/excel/2006/main">
          <x14:cfRule type="dataBar" id="{2e387700-2475-4f55-ab7b-24274a228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N23:N24</xm:sqref>
        </x14:conditionalFormatting>
        <x14:conditionalFormatting xmlns:xm="http://schemas.microsoft.com/office/excel/2006/main">
          <x14:cfRule type="dataBar" id="{d68a17a8-314a-4563-8813-d56e443f29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P3:P33</xm:sqref>
        </x14:conditionalFormatting>
        <x14:conditionalFormatting xmlns:xm="http://schemas.microsoft.com/office/excel/2006/main">
          <x14:cfRule type="dataBar" id="{fa569f89-d7ca-46cf-933e-d8c90500c26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Q27:Q30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texon</cp:lastModifiedBy>
  <dcterms:created xsi:type="dcterms:W3CDTF">2021-06-08T13:45:00Z</dcterms:created>
  <dcterms:modified xsi:type="dcterms:W3CDTF">2021-10-18T15:02:12Z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6C426FAB849F49D4ADFC871332999A05</vt:lpwstr>
  </property>
  <property fmtid="{D5CDD505-2E9C-101B-9397-08002B2CF9AE}" pid="3" name="KSOProductBuildVer">
    <vt:lpwstr>1033-11.2.0.10323</vt:lpwstr>
  </property>
</Properties>
</file>