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4000" windowHeight="9795"/>
  </bookViews>
  <sheets>
    <sheet name="Sheet1" sheetId="1" r:id="rId1"/>
  </sheets>
  <calcPr calcId="144525"/>
</workbook>
</file>

<file path=xl/sharedStrings.xml><?xml version="1.0" encoding="utf-8"?>
<sst xmlns="http://schemas.openxmlformats.org/spreadsheetml/2006/main" count="277" uniqueCount="209">
  <si>
    <t>Bill of Material (BOM) for Interface_Board</t>
  </si>
  <si>
    <t>S. No.</t>
  </si>
  <si>
    <t>Components</t>
  </si>
  <si>
    <t>Description</t>
  </si>
  <si>
    <t>Designator</t>
  </si>
  <si>
    <t>Footprint (Package)</t>
  </si>
  <si>
    <t>Manufacturer Part Number</t>
  </si>
  <si>
    <t>Manufacturer</t>
  </si>
  <si>
    <t xml:space="preserve">LCSC Part No </t>
  </si>
  <si>
    <t>Alternate</t>
  </si>
  <si>
    <t>Value</t>
  </si>
  <si>
    <t>LCSC/MOQ</t>
  </si>
  <si>
    <t>Quantity (Per Board)</t>
  </si>
  <si>
    <t>Quantity 400</t>
  </si>
  <si>
    <t>Link</t>
  </si>
  <si>
    <t>Unit Cost(1)</t>
  </si>
  <si>
    <t>MOQ Total</t>
  </si>
  <si>
    <t>Remarks</t>
  </si>
  <si>
    <t>Quotation of orignal parts from Chinese supplier</t>
  </si>
  <si>
    <t>Capacitor</t>
  </si>
  <si>
    <t>CAP CER 0.1UF 100V X7R 0603</t>
  </si>
  <si>
    <t>C34, C35, C37, C40</t>
  </si>
  <si>
    <t>Cap0603</t>
  </si>
  <si>
    <t>CC0603KRX7R0BB104</t>
  </si>
  <si>
    <t>Yageo</t>
  </si>
  <si>
    <t>0.1uF</t>
  </si>
  <si>
    <t>CAP CER 4.7UF 25V X5R 0603</t>
  </si>
  <si>
    <t>C39</t>
  </si>
  <si>
    <t>C1608X5R1E475M080AC</t>
  </si>
  <si>
    <t>TDK</t>
  </si>
  <si>
    <t>4.7uF</t>
  </si>
  <si>
    <t>CAP CER 1UF 100V X7S 0805</t>
  </si>
  <si>
    <t>C45</t>
  </si>
  <si>
    <t>Cap0805</t>
  </si>
  <si>
    <t>GCM21BC72A105KE36L</t>
  </si>
  <si>
    <t>Murata</t>
  </si>
  <si>
    <t>1uF</t>
  </si>
  <si>
    <t>CAP CER 10PF 50V C0G/NP0 0603</t>
  </si>
  <si>
    <t>C48, C49, C50, C51, C52, C53, C54, C55</t>
  </si>
  <si>
    <t>06035A100JAT2A</t>
  </si>
  <si>
    <t>Kyocera AVX</t>
  </si>
  <si>
    <t>10pF</t>
  </si>
  <si>
    <t>CAP CER 0.022UF 100V X7R 0603</t>
  </si>
  <si>
    <t>C36, C56, C57</t>
  </si>
  <si>
    <t>CGA3E2X7R2A223K080AA</t>
  </si>
  <si>
    <t xml:space="preserve">TDK </t>
  </si>
  <si>
    <t>C21122</t>
  </si>
  <si>
    <t xml:space="preserve">CL10B223KB8NNNC
</t>
  </si>
  <si>
    <t>22nF</t>
  </si>
  <si>
    <t>LCSC</t>
  </si>
  <si>
    <t>CAP CER 2.2UF 50V X5R 0603</t>
  </si>
  <si>
    <t>C38</t>
  </si>
  <si>
    <t>UMK107BBJ225MA-T</t>
  </si>
  <si>
    <t xml:space="preserve">Taiyo Yuden
</t>
  </si>
  <si>
    <t>C268016</t>
  </si>
  <si>
    <t xml:space="preserve">UMK107BBJ225KA-T
</t>
  </si>
  <si>
    <t>2.2uF</t>
  </si>
  <si>
    <t>25V 5mm 10mm 100uF 100kHz SMD,5x10mm Aluminum Electrolytic Cap- SMD ROHS</t>
  </si>
  <si>
    <t>C43</t>
  </si>
  <si>
    <t>Custom</t>
  </si>
  <si>
    <t>VKMB1001E101MV</t>
  </si>
  <si>
    <t xml:space="preserve">Ymin </t>
  </si>
  <si>
    <t>C487322</t>
  </si>
  <si>
    <t>------------</t>
  </si>
  <si>
    <t>100uF</t>
  </si>
  <si>
    <t>63V 10mm 8mm 100uF ±20% ,8x10mm Aluminum Electrolytic Cap</t>
  </si>
  <si>
    <t>C44, C79</t>
  </si>
  <si>
    <t>VKMD1001J101MV</t>
  </si>
  <si>
    <t>C487384</t>
  </si>
  <si>
    <t>CAP ALUM 10uF 25V SMD</t>
  </si>
  <si>
    <t>C46</t>
  </si>
  <si>
    <t>RVT1E100M0405</t>
  </si>
  <si>
    <t>Honor Elec</t>
  </si>
  <si>
    <t>C3343</t>
  </si>
  <si>
    <t>10uF</t>
  </si>
  <si>
    <t xml:space="preserve">10V 22uF ±10% CASE-A_3216 Tantalum Capacitors ROHS
</t>
  </si>
  <si>
    <t>C47</t>
  </si>
  <si>
    <t>Cap Case-A</t>
  </si>
  <si>
    <t>CA45A-A-10V-22uF-K</t>
  </si>
  <si>
    <t>CEC</t>
  </si>
  <si>
    <t>C141745</t>
  </si>
  <si>
    <t>22uF</t>
  </si>
  <si>
    <t xml:space="preserve">CAP CER 1000PF 2KV X7R 1206
</t>
  </si>
  <si>
    <t>C58</t>
  </si>
  <si>
    <t>Cap1206</t>
  </si>
  <si>
    <t>CC1206KKX7RDBB102</t>
  </si>
  <si>
    <t>YAGEO</t>
  </si>
  <si>
    <t>C23631</t>
  </si>
  <si>
    <t>1000pF</t>
  </si>
  <si>
    <t>Diode</t>
  </si>
  <si>
    <t xml:space="preserve">DIODE SCHOTTKY 30V 3A CFP5
</t>
  </si>
  <si>
    <t>D2</t>
  </si>
  <si>
    <t xml:space="preserve">SOD-128
</t>
  </si>
  <si>
    <t>PMEG3030EP,115</t>
  </si>
  <si>
    <t xml:space="preserve">Nexperia </t>
  </si>
  <si>
    <t>C255587</t>
  </si>
  <si>
    <t>-----</t>
  </si>
  <si>
    <t>SOD-523 Schottky Barrier Diodes (SBD) ROHS</t>
  </si>
  <si>
    <t>D3</t>
  </si>
  <si>
    <t>SOD-523</t>
  </si>
  <si>
    <t>MSK4010</t>
  </si>
  <si>
    <t>Tak Cheong</t>
  </si>
  <si>
    <t>C968723</t>
  </si>
  <si>
    <t>Mosfet</t>
  </si>
  <si>
    <t>MOSFET N-CH 20V 4.2A SOT23</t>
  </si>
  <si>
    <t>Q1</t>
  </si>
  <si>
    <t>SOT-23</t>
  </si>
  <si>
    <t>IRLML2502TRPBF</t>
  </si>
  <si>
    <t xml:space="preserve"> INFINEON</t>
  </si>
  <si>
    <t>Utsource</t>
  </si>
  <si>
    <t>Inductor</t>
  </si>
  <si>
    <t>FIXED IND 33UH 2.5A 189.2MOHM SM</t>
  </si>
  <si>
    <t>L10</t>
  </si>
  <si>
    <t>ETQ-P4M330YFN</t>
  </si>
  <si>
    <t xml:space="preserve">Panasonic </t>
  </si>
  <si>
    <t>Resistor</t>
  </si>
  <si>
    <t>RES SMD 10K OHM 5% 1/10W 0603</t>
  </si>
  <si>
    <t>R1,R18</t>
  </si>
  <si>
    <t>Res0603</t>
  </si>
  <si>
    <t>AC0603JR-0710KL</t>
  </si>
  <si>
    <t>C140867</t>
  </si>
  <si>
    <t>10K</t>
  </si>
  <si>
    <t>RES  SMD 330R 100 mW 0603</t>
  </si>
  <si>
    <t xml:space="preserve"> R33, R39</t>
  </si>
  <si>
    <t>RC0603JR-07330RL</t>
  </si>
  <si>
    <t>C105879</t>
  </si>
  <si>
    <t>330R</t>
  </si>
  <si>
    <t>RES SMD 1K OHM 1% 1/10W 0603</t>
  </si>
  <si>
    <t>R21, R22, R29</t>
  </si>
  <si>
    <t>RC0603FR-071KL</t>
  </si>
  <si>
    <t>C22548</t>
  </si>
  <si>
    <t>1K</t>
  </si>
  <si>
    <t>RES SMD ±5% ±200ppm/℃ 0.18Ω 1W 2512</t>
  </si>
  <si>
    <t>R19, R20</t>
  </si>
  <si>
    <t>RES 2512</t>
  </si>
  <si>
    <t>RTT25R18JTE</t>
  </si>
  <si>
    <t xml:space="preserve">
RALEC</t>
  </si>
  <si>
    <t>C159165</t>
  </si>
  <si>
    <t>180m</t>
  </si>
  <si>
    <t>RES 0.075 OHM 1% 2W 2512</t>
  </si>
  <si>
    <t>R27</t>
  </si>
  <si>
    <t>CSRN2512FK75L0</t>
  </si>
  <si>
    <t xml:space="preserve">Stackpole </t>
  </si>
  <si>
    <t>C705611</t>
  </si>
  <si>
    <t xml:space="preserve">RL2512FK-070R075L
</t>
  </si>
  <si>
    <t>75m</t>
  </si>
  <si>
    <t>RES SMD 9kΩ ±100ppm/℃ 0.125W 0805</t>
  </si>
  <si>
    <t>R28</t>
  </si>
  <si>
    <t>0805W8F9001T5E</t>
  </si>
  <si>
    <t>UNI-ROYAL</t>
  </si>
  <si>
    <t>C247026</t>
  </si>
  <si>
    <t>9K</t>
  </si>
  <si>
    <t xml:space="preserve">RES 49.9K OHM 1% 1/10W 0603
</t>
  </si>
  <si>
    <t>R30, R31, R32, R33, R34, R35, R37, R38</t>
  </si>
  <si>
    <t>RC0603FR-0749K9L</t>
  </si>
  <si>
    <t>C114624</t>
  </si>
  <si>
    <t>49K9</t>
  </si>
  <si>
    <t>IC</t>
  </si>
  <si>
    <t xml:space="preserve">IC MTR DRV BIPOLAR 5.5-36V 32QFN
</t>
  </si>
  <si>
    <t>U3</t>
  </si>
  <si>
    <t>32-QFN (5x5)</t>
  </si>
  <si>
    <t>TMC2202-WA-T</t>
  </si>
  <si>
    <t xml:space="preserve">Trinamic </t>
  </si>
  <si>
    <t>Alibaba</t>
  </si>
  <si>
    <t>2A 40V SOIC-8_EP_150mil DC-DC Converters ROHS</t>
  </si>
  <si>
    <t>U7</t>
  </si>
  <si>
    <t>8-SOIC</t>
  </si>
  <si>
    <t>XL4001E1</t>
  </si>
  <si>
    <t xml:space="preserve">XLSEMI </t>
  </si>
  <si>
    <t>C73347</t>
  </si>
  <si>
    <t xml:space="preserve">IC REG LINEAR 3.3V 1A SOT223
</t>
  </si>
  <si>
    <t>U1</t>
  </si>
  <si>
    <t xml:space="preserve">SOT-223-3
</t>
  </si>
  <si>
    <t>AZ1117CH-3.3TRG1</t>
  </si>
  <si>
    <t xml:space="preserve">Diodes </t>
  </si>
  <si>
    <t>C92102</t>
  </si>
  <si>
    <t>Connector</t>
  </si>
  <si>
    <t>P=2.54mm Female Headers,SMD,ROHS</t>
  </si>
  <si>
    <t>J1</t>
  </si>
  <si>
    <t>PHF254SMD-x</t>
  </si>
  <si>
    <t>RTLECS</t>
  </si>
  <si>
    <t>10/100 BASE-TX RJ45 WITH LEDS
INTEGRATED MAGNETICS CONNECTOR</t>
  </si>
  <si>
    <t>J2, J3</t>
  </si>
  <si>
    <t>SK07-111071ENL</t>
  </si>
  <si>
    <t>SAK ELECTRONICS CO.,LTD</t>
  </si>
  <si>
    <t>CONN HEADER 4 POS 2.54mm SMD</t>
  </si>
  <si>
    <t>J4</t>
  </si>
  <si>
    <t>1125N1202SNM</t>
  </si>
  <si>
    <t>2.54mm Straight 1 4 Header TH,P=2.54mm Pin Headers ROHS</t>
  </si>
  <si>
    <t>P1</t>
  </si>
  <si>
    <t>HDR1X4</t>
  </si>
  <si>
    <t>MTP125-1104S1</t>
  </si>
  <si>
    <t>MINTRON</t>
  </si>
  <si>
    <t>CONN HEADER VERT 2POS 2.54MM</t>
  </si>
  <si>
    <t>P12, P15</t>
  </si>
  <si>
    <t>HDR1X2</t>
  </si>
  <si>
    <t>826629-2</t>
  </si>
  <si>
    <t>TE Connectivity</t>
  </si>
  <si>
    <t>C86471</t>
  </si>
  <si>
    <t>Solder Bridge ON</t>
  </si>
  <si>
    <t>SB1, SB2, SB3, SB4, SB5, SB6, SB7</t>
  </si>
  <si>
    <t>Solder Bridge</t>
  </si>
  <si>
    <t>DO NOT Mount</t>
  </si>
  <si>
    <t>Test Point ON</t>
  </si>
  <si>
    <t>P4, P5, P6, P7</t>
  </si>
  <si>
    <t>TEST POINT</t>
  </si>
  <si>
    <t xml:space="preserve">Total Component Cost </t>
  </si>
  <si>
    <t>Single Board Cost</t>
  </si>
  <si>
    <t>ss</t>
  </si>
</sst>
</file>

<file path=xl/styles.xml><?xml version="1.0" encoding="utf-8"?>
<styleSheet xmlns="http://schemas.openxmlformats.org/spreadsheetml/2006/main">
  <numFmts count="8">
    <numFmt numFmtId="176" formatCode="_ * #,##0.00_ ;_ * \-#,##0.00_ ;_ * &quot;-&quot;??_ ;_ @_ "/>
    <numFmt numFmtId="177" formatCode="_ * #,##0_ ;_ * \-#,##0_ ;_ * &quot;-&quot;_ ;_ @_ "/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8" formatCode="&quot;$&quot;#,##0.00000"/>
    <numFmt numFmtId="179" formatCode="&quot;$&quot;#,##0.0000"/>
    <numFmt numFmtId="180" formatCode="&quot;$&quot;#,##0.00"/>
    <numFmt numFmtId="181" formatCode="_-[$$-409]* #,##0.00_ ;_-[$$-409]* \-#,##0.00\ ;_-[$$-409]* &quot;-&quot;??_ ;_-@_ "/>
  </numFmts>
  <fonts count="32">
    <font>
      <sz val="11"/>
      <color theme="1"/>
      <name val="Calibri"/>
      <charset val="134"/>
      <scheme val="minor"/>
    </font>
    <font>
      <b/>
      <sz val="12"/>
      <color theme="0"/>
      <name val="Calibri"/>
      <charset val="134"/>
      <scheme val="minor"/>
    </font>
    <font>
      <b/>
      <sz val="10"/>
      <color theme="0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0"/>
      <color theme="1"/>
      <name val="Calibri"/>
      <charset val="134"/>
      <scheme val="minor"/>
    </font>
    <font>
      <sz val="10"/>
      <color rgb="FF000000"/>
      <name val="Calibri"/>
      <charset val="134"/>
      <scheme val="minor"/>
    </font>
    <font>
      <strike/>
      <sz val="10"/>
      <color rgb="FFFF0000"/>
      <name val="Calibri"/>
      <charset val="134"/>
      <scheme val="minor"/>
    </font>
    <font>
      <sz val="12"/>
      <color theme="0"/>
      <name val="Calibri"/>
      <charset val="134"/>
      <scheme val="minor"/>
    </font>
    <font>
      <u/>
      <sz val="11"/>
      <color theme="10"/>
      <name val="Calibri"/>
      <charset val="134"/>
      <scheme val="minor"/>
    </font>
    <font>
      <sz val="10"/>
      <color rgb="FF333333"/>
      <name val="Calibri"/>
      <charset val="134"/>
      <scheme val="minor"/>
    </font>
    <font>
      <u/>
      <sz val="10"/>
      <color theme="10"/>
      <name val="Calibri"/>
      <charset val="134"/>
      <scheme val="minor"/>
    </font>
    <font>
      <b/>
      <sz val="10"/>
      <name val="Calibri"/>
      <charset val="134"/>
      <scheme val="minor"/>
    </font>
    <font>
      <b/>
      <sz val="10"/>
      <color rgb="FFFF0000"/>
      <name val="Calibri"/>
      <charset val="134"/>
      <scheme val="minor"/>
    </font>
    <font>
      <b/>
      <strike/>
      <sz val="10"/>
      <color rgb="FFFF0000"/>
      <name val="Calibri"/>
      <charset val="134"/>
      <scheme val="minor"/>
    </font>
    <font>
      <sz val="11"/>
      <color rgb="FF9C0006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rgb="FFFF0000"/>
      <name val="Calibri"/>
      <charset val="0"/>
      <scheme val="minor"/>
    </font>
    <font>
      <sz val="11"/>
      <color theme="0"/>
      <name val="Calibri"/>
      <charset val="0"/>
      <scheme val="minor"/>
    </font>
    <font>
      <b/>
      <sz val="18"/>
      <color theme="3"/>
      <name val="Calibri"/>
      <charset val="134"/>
      <scheme val="minor"/>
    </font>
    <font>
      <b/>
      <sz val="11"/>
      <color theme="1"/>
      <name val="Calibri"/>
      <charset val="0"/>
      <scheme val="minor"/>
    </font>
    <font>
      <sz val="11"/>
      <color rgb="FF3F3F76"/>
      <name val="Calibri"/>
      <charset val="0"/>
      <scheme val="minor"/>
    </font>
    <font>
      <i/>
      <sz val="11"/>
      <color rgb="FF7F7F7F"/>
      <name val="Calibri"/>
      <charset val="0"/>
      <scheme val="minor"/>
    </font>
    <font>
      <b/>
      <sz val="13"/>
      <color theme="3"/>
      <name val="Calibri"/>
      <charset val="134"/>
      <scheme val="minor"/>
    </font>
    <font>
      <u/>
      <sz val="11"/>
      <color rgb="FF800080"/>
      <name val="Calibri"/>
      <charset val="0"/>
      <scheme val="minor"/>
    </font>
    <font>
      <sz val="11"/>
      <color rgb="FF0061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1"/>
      <color rgb="FFFA7D00"/>
      <name val="Calibri"/>
      <charset val="0"/>
      <scheme val="minor"/>
    </font>
    <font>
      <b/>
      <sz val="11"/>
      <color theme="3"/>
      <name val="Calibri"/>
      <charset val="134"/>
      <scheme val="minor"/>
    </font>
    <font>
      <sz val="11"/>
      <color rgb="FFFA7D00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sz val="11"/>
      <color rgb="FF9C6500"/>
      <name val="Calibri"/>
      <charset val="0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1" tint="0.5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9" tint="0.599993896298105"/>
        <bgColor indexed="64"/>
      </patternFill>
    </fill>
  </fills>
  <borders count="41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rgb="FF000000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 style="thin">
        <color rgb="FF000000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double">
        <color rgb="FFFF800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49">
    <xf numFmtId="0" fontId="0" fillId="0" borderId="0"/>
    <xf numFmtId="0" fontId="15" fillId="14" borderId="0" applyNumberFormat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/>
    <xf numFmtId="0" fontId="17" fillId="16" borderId="0" applyNumberFormat="0" applyBorder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25" fillId="20" borderId="37" applyNumberFormat="0" applyAlignment="0" applyProtection="0">
      <alignment vertical="center"/>
    </xf>
    <xf numFmtId="0" fontId="22" fillId="0" borderId="36" applyNumberFormat="0" applyFill="0" applyAlignment="0" applyProtection="0">
      <alignment vertical="center"/>
    </xf>
    <xf numFmtId="0" fontId="0" fillId="9" borderId="33" applyNumberFormat="0" applyFont="0" applyAlignment="0" applyProtection="0">
      <alignment vertical="center"/>
    </xf>
    <xf numFmtId="0" fontId="15" fillId="21" borderId="0" applyNumberFormat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5" fillId="23" borderId="0" applyNumberFormat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6" fillId="0" borderId="36" applyNumberFormat="0" applyFill="0" applyAlignment="0" applyProtection="0">
      <alignment vertical="center"/>
    </xf>
    <xf numFmtId="0" fontId="28" fillId="0" borderId="38" applyNumberFormat="0" applyFill="0" applyAlignment="0" applyProtection="0">
      <alignment vertical="center"/>
    </xf>
    <xf numFmtId="0" fontId="28" fillId="0" borderId="0" applyNumberFormat="0" applyFill="0" applyBorder="0" applyAlignment="0" applyProtection="0">
      <alignment vertical="center"/>
    </xf>
    <xf numFmtId="0" fontId="20" fillId="15" borderId="35" applyNumberFormat="0" applyAlignment="0" applyProtection="0">
      <alignment vertical="center"/>
    </xf>
    <xf numFmtId="0" fontId="17" fillId="2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30" fillId="24" borderId="40" applyNumberFormat="0" applyAlignment="0" applyProtection="0">
      <alignment vertical="center"/>
    </xf>
    <xf numFmtId="0" fontId="15" fillId="8" borderId="0" applyNumberFormat="0" applyBorder="0" applyAlignment="0" applyProtection="0">
      <alignment vertical="center"/>
    </xf>
    <xf numFmtId="0" fontId="27" fillId="24" borderId="35" applyNumberFormat="0" applyAlignment="0" applyProtection="0">
      <alignment vertical="center"/>
    </xf>
    <xf numFmtId="0" fontId="29" fillId="0" borderId="39" applyNumberFormat="0" applyFill="0" applyAlignment="0" applyProtection="0">
      <alignment vertical="center"/>
    </xf>
    <xf numFmtId="0" fontId="19" fillId="0" borderId="34" applyNumberFormat="0" applyFill="0" applyAlignment="0" applyProtection="0">
      <alignment vertical="center"/>
    </xf>
    <xf numFmtId="0" fontId="14" fillId="7" borderId="0" applyNumberFormat="0" applyBorder="0" applyAlignment="0" applyProtection="0">
      <alignment vertical="center"/>
    </xf>
    <xf numFmtId="0" fontId="31" fillId="29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5" fillId="30" borderId="0" applyNumberFormat="0" applyBorder="0" applyAlignment="0" applyProtection="0">
      <alignment vertical="center"/>
    </xf>
    <xf numFmtId="0" fontId="17" fillId="31" borderId="0" applyNumberFormat="0" applyBorder="0" applyAlignment="0" applyProtection="0">
      <alignment vertical="center"/>
    </xf>
    <xf numFmtId="0" fontId="17" fillId="32" borderId="0" applyNumberFormat="0" applyBorder="0" applyAlignment="0" applyProtection="0">
      <alignment vertical="center"/>
    </xf>
    <xf numFmtId="0" fontId="15" fillId="12" borderId="0" applyNumberFormat="0" applyBorder="0" applyAlignment="0" applyProtection="0">
      <alignment vertical="center"/>
    </xf>
    <xf numFmtId="0" fontId="15" fillId="18" borderId="0" applyNumberFormat="0" applyBorder="0" applyAlignment="0" applyProtection="0">
      <alignment vertical="center"/>
    </xf>
    <xf numFmtId="0" fontId="17" fillId="11" borderId="0" applyNumberFormat="0" applyBorder="0" applyAlignment="0" applyProtection="0">
      <alignment vertical="center"/>
    </xf>
    <xf numFmtId="0" fontId="17" fillId="35" borderId="0" applyNumberFormat="0" applyBorder="0" applyAlignment="0" applyProtection="0">
      <alignment vertical="center"/>
    </xf>
    <xf numFmtId="0" fontId="15" fillId="10" borderId="0" applyNumberFormat="0" applyBorder="0" applyAlignment="0" applyProtection="0">
      <alignment vertical="center"/>
    </xf>
    <xf numFmtId="0" fontId="17" fillId="27" borderId="0" applyNumberFormat="0" applyBorder="0" applyAlignment="0" applyProtection="0">
      <alignment vertical="center"/>
    </xf>
    <xf numFmtId="0" fontId="15" fillId="36" borderId="0" applyNumberFormat="0" applyBorder="0" applyAlignment="0" applyProtection="0">
      <alignment vertical="center"/>
    </xf>
    <xf numFmtId="0" fontId="15" fillId="34" borderId="0" applyNumberFormat="0" applyBorder="0" applyAlignment="0" applyProtection="0">
      <alignment vertical="center"/>
    </xf>
    <xf numFmtId="0" fontId="17" fillId="22" borderId="0" applyNumberFormat="0" applyBorder="0" applyAlignment="0" applyProtection="0">
      <alignment vertical="center"/>
    </xf>
    <xf numFmtId="0" fontId="15" fillId="33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7" fillId="26" borderId="0" applyNumberFormat="0" applyBorder="0" applyAlignment="0" applyProtection="0">
      <alignment vertical="center"/>
    </xf>
    <xf numFmtId="0" fontId="15" fillId="37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</cellStyleXfs>
  <cellXfs count="156">
    <xf numFmtId="0" fontId="0" fillId="0" borderId="0" xfId="0"/>
    <xf numFmtId="0" fontId="0" fillId="0" borderId="0" xfId="0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/>
    </xf>
    <xf numFmtId="0" fontId="1" fillId="3" borderId="4" xfId="0" applyFont="1" applyFill="1" applyBorder="1" applyAlignment="1">
      <alignment horizontal="center" vertical="center"/>
    </xf>
    <xf numFmtId="0" fontId="1" fillId="3" borderId="5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3" fillId="0" borderId="5" xfId="0" applyFont="1" applyBorder="1" applyAlignment="1">
      <alignment horizontal="center" vertical="center" wrapText="1"/>
    </xf>
    <xf numFmtId="0" fontId="0" fillId="0" borderId="6" xfId="0" applyFill="1" applyBorder="1" applyAlignment="1">
      <alignment horizontal="center" vertical="center"/>
    </xf>
    <xf numFmtId="0" fontId="0" fillId="4" borderId="6" xfId="0" applyFill="1" applyBorder="1" applyAlignment="1">
      <alignment horizontal="center" vertical="center"/>
    </xf>
    <xf numFmtId="0" fontId="0" fillId="0" borderId="7" xfId="0" applyFill="1" applyBorder="1" applyAlignment="1">
      <alignment horizontal="center" vertical="center"/>
    </xf>
    <xf numFmtId="0" fontId="3" fillId="0" borderId="8" xfId="0" applyFont="1" applyBorder="1" applyAlignment="1">
      <alignment horizontal="center" vertical="center" wrapText="1"/>
    </xf>
    <xf numFmtId="0" fontId="4" fillId="0" borderId="9" xfId="0" applyFont="1" applyBorder="1" applyAlignment="1">
      <alignment vertical="center" wrapText="1"/>
    </xf>
    <xf numFmtId="0" fontId="4" fillId="0" borderId="6" xfId="0" applyFont="1" applyBorder="1" applyAlignment="1">
      <alignment horizontal="center" vertical="center" wrapText="1"/>
    </xf>
    <xf numFmtId="0" fontId="4" fillId="4" borderId="6" xfId="0" applyFont="1" applyFill="1" applyBorder="1" applyAlignment="1">
      <alignment horizontal="center" vertical="center" wrapText="1"/>
    </xf>
    <xf numFmtId="0" fontId="5" fillId="0" borderId="6" xfId="0" applyFont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center"/>
    </xf>
    <xf numFmtId="0" fontId="5" fillId="0" borderId="6" xfId="0" applyFont="1" applyBorder="1" applyAlignment="1">
      <alignment horizontal="center" vertical="center" wrapText="1"/>
    </xf>
    <xf numFmtId="0" fontId="4" fillId="0" borderId="9" xfId="0" applyFont="1" applyBorder="1" applyAlignment="1">
      <alignment vertical="center"/>
    </xf>
    <xf numFmtId="0" fontId="4" fillId="0" borderId="6" xfId="0" applyFont="1" applyBorder="1" applyAlignment="1">
      <alignment horizontal="center" vertical="center"/>
    </xf>
    <xf numFmtId="0" fontId="4" fillId="4" borderId="6" xfId="0" applyFont="1" applyFill="1" applyBorder="1" applyAlignment="1">
      <alignment horizontal="center" vertical="center"/>
    </xf>
    <xf numFmtId="0" fontId="3" fillId="0" borderId="10" xfId="0" applyFont="1" applyBorder="1" applyAlignment="1">
      <alignment horizontal="center" vertical="center" wrapText="1"/>
    </xf>
    <xf numFmtId="0" fontId="4" fillId="0" borderId="11" xfId="0" applyFont="1" applyBorder="1" applyAlignment="1">
      <alignment vertical="center"/>
    </xf>
    <xf numFmtId="0" fontId="4" fillId="0" borderId="12" xfId="0" applyFont="1" applyBorder="1" applyAlignment="1">
      <alignment horizontal="center" vertical="center"/>
    </xf>
    <xf numFmtId="0" fontId="4" fillId="4" borderId="12" xfId="0" applyFont="1" applyFill="1" applyBorder="1" applyAlignment="1">
      <alignment horizontal="center" vertical="center"/>
    </xf>
    <xf numFmtId="0" fontId="5" fillId="0" borderId="12" xfId="0" applyFont="1" applyBorder="1" applyAlignment="1">
      <alignment horizontal="center" vertical="center"/>
    </xf>
    <xf numFmtId="0" fontId="5" fillId="5" borderId="12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center" wrapText="1"/>
    </xf>
    <xf numFmtId="0" fontId="4" fillId="0" borderId="11" xfId="0" applyFont="1" applyBorder="1" applyAlignment="1">
      <alignment vertical="center" wrapText="1"/>
    </xf>
    <xf numFmtId="0" fontId="4" fillId="0" borderId="12" xfId="0" applyFont="1" applyBorder="1" applyAlignment="1">
      <alignment horizontal="center" vertical="center" wrapText="1"/>
    </xf>
    <xf numFmtId="0" fontId="4" fillId="4" borderId="12" xfId="0" applyFont="1" applyFill="1" applyBorder="1" applyAlignment="1">
      <alignment horizontal="center" vertical="center" wrapText="1"/>
    </xf>
    <xf numFmtId="0" fontId="3" fillId="0" borderId="3" xfId="0" applyFont="1" applyBorder="1" applyAlignment="1">
      <alignment horizontal="center" vertical="center" wrapText="1"/>
    </xf>
    <xf numFmtId="0" fontId="4" fillId="6" borderId="13" xfId="0" applyFont="1" applyFill="1" applyBorder="1" applyAlignment="1">
      <alignment vertical="center" wrapText="1"/>
    </xf>
    <xf numFmtId="0" fontId="4" fillId="6" borderId="14" xfId="0" applyFont="1" applyFill="1" applyBorder="1" applyAlignment="1">
      <alignment horizontal="center" vertical="center" wrapText="1"/>
    </xf>
    <xf numFmtId="0" fontId="4" fillId="4" borderId="14" xfId="0" applyFont="1" applyFill="1" applyBorder="1" applyAlignment="1">
      <alignment horizontal="center" vertical="center" wrapText="1"/>
    </xf>
    <xf numFmtId="0" fontId="5" fillId="6" borderId="14" xfId="0" applyFont="1" applyFill="1" applyBorder="1" applyAlignment="1">
      <alignment horizontal="center" vertical="center"/>
    </xf>
    <xf numFmtId="0" fontId="5" fillId="6" borderId="14" xfId="0" applyFont="1" applyFill="1" applyBorder="1" applyAlignment="1">
      <alignment horizontal="center" vertical="center" wrapText="1"/>
    </xf>
    <xf numFmtId="0" fontId="4" fillId="6" borderId="11" xfId="0" applyFont="1" applyFill="1" applyBorder="1" applyAlignment="1">
      <alignment vertical="center" wrapText="1"/>
    </xf>
    <xf numFmtId="0" fontId="4" fillId="6" borderId="12" xfId="0" applyFont="1" applyFill="1" applyBorder="1" applyAlignment="1">
      <alignment horizontal="center" vertical="center" wrapText="1"/>
    </xf>
    <xf numFmtId="0" fontId="5" fillId="6" borderId="12" xfId="0" applyFont="1" applyFill="1" applyBorder="1" applyAlignment="1">
      <alignment horizontal="center" vertical="center"/>
    </xf>
    <xf numFmtId="0" fontId="4" fillId="0" borderId="15" xfId="0" applyFont="1" applyBorder="1" applyAlignment="1">
      <alignment vertical="center" wrapText="1"/>
    </xf>
    <xf numFmtId="0" fontId="4" fillId="0" borderId="16" xfId="0" applyFont="1" applyBorder="1" applyAlignment="1">
      <alignment horizontal="center" vertical="center" wrapText="1"/>
    </xf>
    <xf numFmtId="0" fontId="4" fillId="4" borderId="16" xfId="0" applyFont="1" applyFill="1" applyBorder="1" applyAlignment="1">
      <alignment horizontal="center" vertical="center" wrapText="1"/>
    </xf>
    <xf numFmtId="0" fontId="5" fillId="0" borderId="16" xfId="0" applyFont="1" applyBorder="1" applyAlignment="1">
      <alignment horizontal="center" vertical="center"/>
    </xf>
    <xf numFmtId="0" fontId="5" fillId="5" borderId="16" xfId="0" applyFont="1" applyFill="1" applyBorder="1" applyAlignment="1">
      <alignment horizontal="center" vertical="center"/>
    </xf>
    <xf numFmtId="0" fontId="4" fillId="6" borderId="9" xfId="0" applyFont="1" applyFill="1" applyBorder="1" applyAlignment="1">
      <alignment vertical="center"/>
    </xf>
    <xf numFmtId="0" fontId="4" fillId="6" borderId="6" xfId="0" applyFont="1" applyFill="1" applyBorder="1" applyAlignment="1">
      <alignment horizontal="center" vertical="center" wrapText="1"/>
    </xf>
    <xf numFmtId="0" fontId="5" fillId="6" borderId="6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center" wrapText="1"/>
    </xf>
    <xf numFmtId="0" fontId="3" fillId="0" borderId="8" xfId="0" applyFont="1" applyBorder="1" applyAlignment="1">
      <alignment horizontal="center" vertical="center" wrapText="1"/>
    </xf>
    <xf numFmtId="0" fontId="0" fillId="0" borderId="6" xfId="0" applyFill="1" applyBorder="1" applyAlignment="1">
      <alignment horizontal="left" vertical="center"/>
    </xf>
    <xf numFmtId="0" fontId="4" fillId="0" borderId="6" xfId="0" applyFont="1" applyBorder="1" applyAlignment="1">
      <alignment vertical="center" wrapText="1"/>
    </xf>
    <xf numFmtId="0" fontId="5" fillId="0" borderId="6" xfId="0" applyFont="1" applyFill="1" applyBorder="1" applyAlignment="1">
      <alignment horizontal="center" vertical="center"/>
    </xf>
    <xf numFmtId="0" fontId="6" fillId="4" borderId="9" xfId="0" applyFont="1" applyFill="1" applyBorder="1" applyAlignment="1">
      <alignment horizontal="left" vertical="center" wrapText="1"/>
    </xf>
    <xf numFmtId="0" fontId="6" fillId="4" borderId="6" xfId="0" applyFont="1" applyFill="1" applyBorder="1" applyAlignment="1">
      <alignment horizontal="center" vertical="center" wrapText="1"/>
    </xf>
    <xf numFmtId="0" fontId="6" fillId="4" borderId="6" xfId="0" applyFont="1" applyFill="1" applyBorder="1" applyAlignment="1">
      <alignment horizontal="center" vertical="center"/>
    </xf>
    <xf numFmtId="0" fontId="3" fillId="0" borderId="10" xfId="0" applyFont="1" applyBorder="1" applyAlignment="1">
      <alignment horizontal="center" vertical="center" wrapText="1"/>
    </xf>
    <xf numFmtId="0" fontId="6" fillId="4" borderId="11" xfId="0" applyFont="1" applyFill="1" applyBorder="1" applyAlignment="1">
      <alignment horizontal="left" vertical="center" wrapText="1"/>
    </xf>
    <xf numFmtId="0" fontId="6" fillId="4" borderId="12" xfId="0" applyFont="1" applyFill="1" applyBorder="1" applyAlignment="1">
      <alignment horizontal="center" vertical="center" wrapText="1"/>
    </xf>
    <xf numFmtId="0" fontId="6" fillId="4" borderId="17" xfId="0" applyFont="1" applyFill="1" applyBorder="1" applyAlignment="1">
      <alignment horizontal="center" vertical="center" wrapText="1"/>
    </xf>
    <xf numFmtId="0" fontId="6" fillId="4" borderId="17" xfId="0" applyFont="1" applyFill="1" applyBorder="1" applyAlignment="1">
      <alignment horizontal="center" vertical="center"/>
    </xf>
    <xf numFmtId="0" fontId="4" fillId="0" borderId="0" xfId="0" applyFont="1" applyAlignment="1">
      <alignment horizontal="center"/>
    </xf>
    <xf numFmtId="0" fontId="1" fillId="3" borderId="18" xfId="0" applyFont="1" applyFill="1" applyBorder="1" applyAlignment="1">
      <alignment horizontal="center" vertical="center"/>
    </xf>
    <xf numFmtId="179" fontId="1" fillId="3" borderId="5" xfId="0" applyNumberFormat="1" applyFont="1" applyFill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/>
    </xf>
    <xf numFmtId="0" fontId="0" fillId="0" borderId="19" xfId="0" applyFill="1" applyBorder="1" applyAlignment="1">
      <alignment horizontal="center" vertical="center"/>
    </xf>
    <xf numFmtId="0" fontId="4" fillId="0" borderId="20" xfId="0" applyFont="1" applyBorder="1" applyAlignment="1">
      <alignment horizontal="center" vertical="center"/>
    </xf>
    <xf numFmtId="179" fontId="8" fillId="0" borderId="16" xfId="7" applyNumberFormat="1" applyBorder="1" applyAlignment="1">
      <alignment horizontal="center" vertical="center"/>
    </xf>
    <xf numFmtId="179" fontId="5" fillId="0" borderId="16" xfId="0" applyNumberFormat="1" applyFont="1" applyBorder="1" applyAlignment="1">
      <alignment horizontal="center" vertical="center"/>
    </xf>
    <xf numFmtId="179" fontId="4" fillId="0" borderId="16" xfId="0" applyNumberFormat="1" applyFont="1" applyBorder="1" applyAlignment="1">
      <alignment horizontal="center" vertical="center"/>
    </xf>
    <xf numFmtId="179" fontId="8" fillId="0" borderId="6" xfId="7" applyNumberFormat="1" applyBorder="1" applyAlignment="1">
      <alignment horizontal="center" vertical="center"/>
    </xf>
    <xf numFmtId="179" fontId="5" fillId="0" borderId="6" xfId="0" applyNumberFormat="1" applyFont="1" applyBorder="1" applyAlignment="1">
      <alignment horizontal="center" vertical="center"/>
    </xf>
    <xf numFmtId="179" fontId="4" fillId="0" borderId="6" xfId="0" applyNumberFormat="1" applyFont="1" applyBorder="1" applyAlignment="1">
      <alignment horizontal="center" vertical="center"/>
    </xf>
    <xf numFmtId="0" fontId="8" fillId="0" borderId="6" xfId="7" applyBorder="1" applyAlignment="1">
      <alignment horizontal="center" vertical="center"/>
    </xf>
    <xf numFmtId="178" fontId="5" fillId="0" borderId="6" xfId="0" applyNumberFormat="1" applyFont="1" applyBorder="1" applyAlignment="1">
      <alignment horizontal="center" vertical="center"/>
    </xf>
    <xf numFmtId="178" fontId="4" fillId="0" borderId="6" xfId="0" applyNumberFormat="1" applyFont="1" applyBorder="1" applyAlignment="1">
      <alignment horizontal="center" vertical="center"/>
    </xf>
    <xf numFmtId="0" fontId="4" fillId="5" borderId="6" xfId="0" applyFont="1" applyFill="1" applyBorder="1" applyAlignment="1">
      <alignment horizontal="center" vertical="center"/>
    </xf>
    <xf numFmtId="179" fontId="9" fillId="0" borderId="6" xfId="0" applyNumberFormat="1" applyFont="1" applyBorder="1" applyAlignment="1">
      <alignment horizontal="center" vertical="center"/>
    </xf>
    <xf numFmtId="0" fontId="8" fillId="0" borderId="6" xfId="7" applyFill="1" applyBorder="1" applyAlignment="1">
      <alignment horizontal="center" vertical="center"/>
    </xf>
    <xf numFmtId="179" fontId="5" fillId="0" borderId="6" xfId="0" applyNumberFormat="1" applyFont="1" applyFill="1" applyBorder="1" applyAlignment="1">
      <alignment horizontal="center" vertical="center"/>
    </xf>
    <xf numFmtId="179" fontId="4" fillId="0" borderId="6" xfId="0" applyNumberFormat="1" applyFont="1" applyFill="1" applyBorder="1" applyAlignment="1">
      <alignment horizontal="center" vertical="center"/>
    </xf>
    <xf numFmtId="0" fontId="8" fillId="0" borderId="6" xfId="7" applyBorder="1" applyAlignment="1">
      <alignment horizontal="center" vertical="center" wrapText="1"/>
    </xf>
    <xf numFmtId="179" fontId="5" fillId="0" borderId="6" xfId="0" applyNumberFormat="1" applyFont="1" applyBorder="1" applyAlignment="1">
      <alignment horizontal="center" vertical="center" wrapText="1"/>
    </xf>
    <xf numFmtId="179" fontId="4" fillId="0" borderId="6" xfId="0" applyNumberFormat="1" applyFont="1" applyBorder="1" applyAlignment="1">
      <alignment horizontal="center" vertical="center" wrapText="1"/>
    </xf>
    <xf numFmtId="0" fontId="5" fillId="5" borderId="12" xfId="0" applyFont="1" applyFill="1" applyBorder="1" applyAlignment="1">
      <alignment horizontal="center" vertical="center" wrapText="1"/>
    </xf>
    <xf numFmtId="0" fontId="8" fillId="0" borderId="12" xfId="7" applyBorder="1" applyAlignment="1">
      <alignment horizontal="center" vertical="center"/>
    </xf>
    <xf numFmtId="179" fontId="5" fillId="0" borderId="12" xfId="0" applyNumberFormat="1" applyFont="1" applyBorder="1" applyAlignment="1">
      <alignment horizontal="center" vertical="center"/>
    </xf>
    <xf numFmtId="179" fontId="4" fillId="0" borderId="12" xfId="0" applyNumberFormat="1" applyFont="1" applyBorder="1" applyAlignment="1">
      <alignment horizontal="center" vertical="center"/>
    </xf>
    <xf numFmtId="0" fontId="5" fillId="4" borderId="12" xfId="0" applyFont="1" applyFill="1" applyBorder="1" applyAlignment="1">
      <alignment horizontal="center" vertical="center"/>
    </xf>
    <xf numFmtId="179" fontId="5" fillId="5" borderId="12" xfId="0" applyNumberFormat="1" applyFont="1" applyFill="1" applyBorder="1" applyAlignment="1">
      <alignment horizontal="center" vertical="center"/>
    </xf>
    <xf numFmtId="179" fontId="4" fillId="5" borderId="12" xfId="0" applyNumberFormat="1" applyFont="1" applyFill="1" applyBorder="1" applyAlignment="1">
      <alignment horizontal="center" vertical="center"/>
    </xf>
    <xf numFmtId="0" fontId="4" fillId="6" borderId="14" xfId="0" applyFont="1" applyFill="1" applyBorder="1" applyAlignment="1">
      <alignment horizontal="center" vertical="center"/>
    </xf>
    <xf numFmtId="0" fontId="5" fillId="0" borderId="14" xfId="0" applyFont="1" applyBorder="1" applyAlignment="1">
      <alignment horizontal="center" vertical="center"/>
    </xf>
    <xf numFmtId="0" fontId="4" fillId="0" borderId="14" xfId="0" applyFont="1" applyBorder="1" applyAlignment="1">
      <alignment horizontal="center" vertical="center"/>
    </xf>
    <xf numFmtId="0" fontId="8" fillId="0" borderId="14" xfId="7" applyBorder="1" applyAlignment="1">
      <alignment horizontal="center" vertical="center"/>
    </xf>
    <xf numFmtId="179" fontId="5" fillId="0" borderId="14" xfId="0" applyNumberFormat="1" applyFont="1" applyBorder="1" applyAlignment="1">
      <alignment horizontal="center" vertical="center"/>
    </xf>
    <xf numFmtId="179" fontId="4" fillId="0" borderId="14" xfId="0" applyNumberFormat="1" applyFont="1" applyBorder="1" applyAlignment="1">
      <alignment horizontal="center" vertical="center"/>
    </xf>
    <xf numFmtId="0" fontId="5" fillId="6" borderId="12" xfId="0" applyFont="1" applyFill="1" applyBorder="1" applyAlignment="1">
      <alignment horizontal="center" vertical="center" wrapText="1"/>
    </xf>
    <xf numFmtId="0" fontId="4" fillId="6" borderId="12" xfId="0" applyFont="1" applyFill="1" applyBorder="1" applyAlignment="1">
      <alignment horizontal="center" vertical="center"/>
    </xf>
    <xf numFmtId="179" fontId="10" fillId="6" borderId="12" xfId="7" applyNumberFormat="1" applyFont="1" applyFill="1" applyBorder="1" applyAlignment="1">
      <alignment horizontal="center" vertical="center"/>
    </xf>
    <xf numFmtId="0" fontId="4" fillId="5" borderId="16" xfId="0" applyFont="1" applyFill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8" fillId="0" borderId="16" xfId="7" applyBorder="1" applyAlignment="1">
      <alignment horizontal="center" vertical="center"/>
    </xf>
    <xf numFmtId="0" fontId="8" fillId="5" borderId="6" xfId="7" applyFill="1" applyBorder="1" applyAlignment="1">
      <alignment horizontal="center" vertical="center"/>
    </xf>
    <xf numFmtId="179" fontId="5" fillId="5" borderId="6" xfId="0" applyNumberFormat="1" applyFont="1" applyFill="1" applyBorder="1" applyAlignment="1">
      <alignment horizontal="center" vertical="center"/>
    </xf>
    <xf numFmtId="179" fontId="4" fillId="5" borderId="6" xfId="0" applyNumberFormat="1" applyFont="1" applyFill="1" applyBorder="1" applyAlignment="1">
      <alignment horizontal="center" vertical="center"/>
    </xf>
    <xf numFmtId="0" fontId="4" fillId="5" borderId="12" xfId="0" applyFont="1" applyFill="1" applyBorder="1" applyAlignment="1">
      <alignment horizontal="center" vertical="center"/>
    </xf>
    <xf numFmtId="179" fontId="8" fillId="0" borderId="12" xfId="7" applyNumberFormat="1" applyBorder="1" applyAlignment="1">
      <alignment horizontal="center" vertical="center"/>
    </xf>
    <xf numFmtId="0" fontId="4" fillId="6" borderId="6" xfId="0" applyFont="1" applyFill="1" applyBorder="1" applyAlignment="1">
      <alignment horizontal="center" vertical="center"/>
    </xf>
    <xf numFmtId="0" fontId="8" fillId="4" borderId="12" xfId="7" applyFill="1" applyBorder="1" applyAlignment="1">
      <alignment horizontal="center" vertical="center"/>
    </xf>
    <xf numFmtId="179" fontId="5" fillId="4" borderId="12" xfId="0" applyNumberFormat="1" applyFont="1" applyFill="1" applyBorder="1" applyAlignment="1">
      <alignment horizontal="center" vertical="center"/>
    </xf>
    <xf numFmtId="179" fontId="4" fillId="4" borderId="12" xfId="0" applyNumberFormat="1" applyFont="1" applyFill="1" applyBorder="1" applyAlignment="1">
      <alignment horizontal="center" vertical="center"/>
    </xf>
    <xf numFmtId="0" fontId="5" fillId="6" borderId="21" xfId="0" applyFont="1" applyFill="1" applyBorder="1" applyAlignment="1">
      <alignment horizontal="center" vertical="center"/>
    </xf>
    <xf numFmtId="0" fontId="4" fillId="0" borderId="21" xfId="0" applyFont="1" applyBorder="1" applyAlignment="1">
      <alignment horizontal="center" vertical="center"/>
    </xf>
    <xf numFmtId="0" fontId="10" fillId="0" borderId="21" xfId="7" applyFont="1" applyBorder="1" applyAlignment="1">
      <alignment horizontal="center" vertical="center" wrapText="1"/>
    </xf>
    <xf numFmtId="180" fontId="0" fillId="0" borderId="0" xfId="0" applyNumberFormat="1" applyAlignment="1">
      <alignment horizontal="center"/>
    </xf>
    <xf numFmtId="179" fontId="4" fillId="0" borderId="21" xfId="0" applyNumberFormat="1" applyFont="1" applyBorder="1" applyAlignment="1">
      <alignment horizontal="center" vertical="center"/>
    </xf>
    <xf numFmtId="0" fontId="6" fillId="0" borderId="6" xfId="0" applyFont="1" applyBorder="1" applyAlignment="1">
      <alignment horizontal="center" vertical="center" wrapText="1"/>
    </xf>
    <xf numFmtId="179" fontId="6" fillId="4" borderId="6" xfId="0" applyNumberFormat="1" applyFont="1" applyFill="1" applyBorder="1" applyAlignment="1">
      <alignment horizontal="center" vertical="center"/>
    </xf>
    <xf numFmtId="0" fontId="6" fillId="0" borderId="1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/>
    </xf>
    <xf numFmtId="0" fontId="6" fillId="4" borderId="22" xfId="0" applyFont="1" applyFill="1" applyBorder="1" applyAlignment="1">
      <alignment horizontal="center" vertical="center"/>
    </xf>
    <xf numFmtId="179" fontId="6" fillId="4" borderId="17" xfId="0" applyNumberFormat="1" applyFont="1" applyFill="1" applyBorder="1" applyAlignment="1">
      <alignment horizontal="center" vertical="center"/>
    </xf>
    <xf numFmtId="0" fontId="11" fillId="5" borderId="1" xfId="0" applyFont="1" applyFill="1" applyBorder="1" applyAlignment="1">
      <alignment horizontal="center" vertical="center" wrapText="1"/>
    </xf>
    <xf numFmtId="0" fontId="11" fillId="5" borderId="2" xfId="0" applyFont="1" applyFill="1" applyBorder="1" applyAlignment="1">
      <alignment horizontal="center" vertical="center" wrapText="1"/>
    </xf>
    <xf numFmtId="180" fontId="4" fillId="0" borderId="23" xfId="0" applyNumberFormat="1" applyFont="1" applyBorder="1" applyAlignment="1">
      <alignment horizontal="center" vertical="center"/>
    </xf>
    <xf numFmtId="0" fontId="11" fillId="5" borderId="1" xfId="0" applyFont="1" applyFill="1" applyBorder="1" applyAlignment="1">
      <alignment horizontal="center" wrapText="1"/>
    </xf>
    <xf numFmtId="0" fontId="11" fillId="5" borderId="2" xfId="0" applyFont="1" applyFill="1" applyBorder="1" applyAlignment="1">
      <alignment horizontal="center" wrapText="1"/>
    </xf>
    <xf numFmtId="180" fontId="4" fillId="0" borderId="23" xfId="0" applyNumberFormat="1" applyFont="1" applyFill="1" applyBorder="1" applyAlignment="1">
      <alignment horizontal="center" vertical="center"/>
    </xf>
    <xf numFmtId="0" fontId="1" fillId="5" borderId="2" xfId="0" applyFont="1" applyFill="1" applyBorder="1" applyAlignment="1">
      <alignment vertical="center"/>
    </xf>
    <xf numFmtId="0" fontId="1" fillId="3" borderId="5" xfId="0" applyFont="1" applyFill="1" applyBorder="1" applyAlignment="1">
      <alignment horizontal="center" vertical="center" wrapText="1"/>
    </xf>
    <xf numFmtId="0" fontId="4" fillId="0" borderId="24" xfId="0" applyFont="1" applyBorder="1" applyAlignment="1">
      <alignment horizontal="center" vertical="center"/>
    </xf>
    <xf numFmtId="180" fontId="0" fillId="0" borderId="25" xfId="0" applyNumberFormat="1" applyFont="1" applyBorder="1"/>
    <xf numFmtId="0" fontId="0" fillId="0" borderId="0" xfId="0" applyFont="1"/>
    <xf numFmtId="0" fontId="4" fillId="0" borderId="26" xfId="0" applyFont="1" applyBorder="1" applyAlignment="1">
      <alignment horizontal="center" vertical="center"/>
    </xf>
    <xf numFmtId="180" fontId="0" fillId="0" borderId="27" xfId="0" applyNumberFormat="1" applyFont="1" applyBorder="1"/>
    <xf numFmtId="0" fontId="12" fillId="0" borderId="26" xfId="0" applyFont="1" applyFill="1" applyBorder="1" applyAlignment="1">
      <alignment horizontal="center" vertical="center"/>
    </xf>
    <xf numFmtId="181" fontId="13" fillId="5" borderId="26" xfId="0" applyNumberFormat="1" applyFont="1" applyFill="1" applyBorder="1" applyAlignment="1">
      <alignment horizontal="center" vertical="center" wrapText="1"/>
    </xf>
    <xf numFmtId="180" fontId="0" fillId="0" borderId="27" xfId="0" applyNumberFormat="1" applyFont="1" applyBorder="1" applyAlignment="1">
      <alignment wrapText="1"/>
    </xf>
    <xf numFmtId="0" fontId="0" fillId="0" borderId="0" xfId="0" applyFont="1" applyAlignment="1">
      <alignment wrapText="1"/>
    </xf>
    <xf numFmtId="0" fontId="4" fillId="0" borderId="28" xfId="0" applyFont="1" applyBorder="1" applyAlignment="1">
      <alignment horizontal="center" vertical="center"/>
    </xf>
    <xf numFmtId="0" fontId="4" fillId="0" borderId="26" xfId="0" applyFont="1" applyBorder="1"/>
    <xf numFmtId="0" fontId="12" fillId="5" borderId="28" xfId="0" applyFont="1" applyFill="1" applyBorder="1" applyAlignment="1">
      <alignment horizontal="center" vertical="center"/>
    </xf>
    <xf numFmtId="181" fontId="13" fillId="5" borderId="29" xfId="0" applyNumberFormat="1" applyFont="1" applyFill="1" applyBorder="1" applyAlignment="1">
      <alignment horizontal="center" vertical="center"/>
    </xf>
    <xf numFmtId="180" fontId="0" fillId="0" borderId="8" xfId="0" applyNumberFormat="1" applyBorder="1" applyAlignment="1">
      <alignment horizontal="center"/>
    </xf>
    <xf numFmtId="0" fontId="4" fillId="5" borderId="28" xfId="0" applyFont="1" applyFill="1" applyBorder="1" applyAlignment="1">
      <alignment horizontal="center" vertical="center"/>
    </xf>
    <xf numFmtId="0" fontId="4" fillId="5" borderId="26" xfId="0" applyFont="1" applyFill="1" applyBorder="1" applyAlignment="1">
      <alignment horizontal="center" vertical="center"/>
    </xf>
    <xf numFmtId="0" fontId="12" fillId="4" borderId="28" xfId="0" applyFont="1" applyFill="1" applyBorder="1" applyAlignment="1">
      <alignment horizontal="center" vertical="center"/>
    </xf>
    <xf numFmtId="181" fontId="13" fillId="5" borderId="30" xfId="0" applyNumberFormat="1" applyFont="1" applyFill="1" applyBorder="1" applyAlignment="1">
      <alignment horizontal="center" vertical="center"/>
    </xf>
    <xf numFmtId="180" fontId="0" fillId="0" borderId="8" xfId="0" applyNumberFormat="1" applyBorder="1" applyAlignment="1">
      <alignment horizontal="center"/>
    </xf>
    <xf numFmtId="181" fontId="13" fillId="4" borderId="26" xfId="0" applyNumberFormat="1" applyFont="1" applyFill="1" applyBorder="1" applyAlignment="1">
      <alignment horizontal="center" vertical="center"/>
    </xf>
    <xf numFmtId="181" fontId="13" fillId="4" borderId="31" xfId="0" applyNumberFormat="1" applyFont="1" applyFill="1" applyBorder="1" applyAlignment="1">
      <alignment horizontal="center" vertical="center"/>
    </xf>
    <xf numFmtId="180" fontId="0" fillId="0" borderId="32" xfId="0" applyNumberFormat="1" applyFont="1" applyBorder="1"/>
    <xf numFmtId="0" fontId="4" fillId="0" borderId="0" xfId="0" applyFont="1"/>
    <xf numFmtId="0" fontId="1" fillId="5" borderId="23" xfId="0" applyFont="1" applyFill="1" applyBorder="1" applyAlignment="1">
      <alignment vertical="center"/>
    </xf>
    <xf numFmtId="0" fontId="0" fillId="0" borderId="6" xfId="0" applyFill="1" applyBorder="1" applyAlignment="1" quotePrefix="1">
      <alignment horizontal="center" vertical="center"/>
    </xf>
    <xf numFmtId="0" fontId="0" fillId="4" borderId="6" xfId="0" applyFill="1" applyBorder="1" applyAlignment="1" quotePrefix="1">
      <alignment horizontal="center" vertical="center"/>
    </xf>
    <xf numFmtId="0" fontId="0" fillId="0" borderId="7" xfId="0" applyFill="1" applyBorder="1" applyAlignment="1" quotePrefix="1">
      <alignment horizontal="center" vertical="center"/>
    </xf>
    <xf numFmtId="0" fontId="0" fillId="0" borderId="19" xfId="0" applyFill="1" applyBorder="1" applyAlignment="1" quotePrefix="1">
      <alignment horizontal="center" vertical="center"/>
    </xf>
    <xf numFmtId="0" fontId="4" fillId="0" borderId="9" xfId="0" applyFont="1" applyBorder="1" applyAlignment="1" quotePrefix="1">
      <alignment vertical="center" wrapText="1"/>
    </xf>
    <xf numFmtId="0" fontId="4" fillId="0" borderId="6" xfId="0" applyFont="1" applyBorder="1" applyAlignment="1" quotePrefix="1">
      <alignment horizontal="center" vertical="center" wrapText="1"/>
    </xf>
    <xf numFmtId="0" fontId="4" fillId="4" borderId="6" xfId="0" applyFont="1" applyFill="1" applyBorder="1" applyAlignment="1" quotePrefix="1">
      <alignment horizontal="center" vertical="center" wrapText="1"/>
    </xf>
    <xf numFmtId="0" fontId="5" fillId="0" borderId="6" xfId="0" applyFont="1" applyBorder="1" applyAlignment="1" quotePrefix="1">
      <alignment horizontal="center" vertical="center"/>
    </xf>
    <xf numFmtId="0" fontId="4" fillId="5" borderId="6" xfId="0" applyFont="1" applyFill="1" applyBorder="1" applyAlignment="1" quotePrefix="1">
      <alignment horizontal="center" vertical="center"/>
    </xf>
    <xf numFmtId="0" fontId="8" fillId="0" borderId="6" xfId="7" applyBorder="1" applyAlignment="1" quotePrefix="1">
      <alignment horizontal="center" vertical="center"/>
    </xf>
    <xf numFmtId="0" fontId="5" fillId="0" borderId="6" xfId="0" applyFont="1" applyBorder="1" applyAlignment="1" quotePrefix="1">
      <alignment horizontal="center" vertical="center" wrapText="1"/>
    </xf>
    <xf numFmtId="0" fontId="5" fillId="5" borderId="6" xfId="0" applyFont="1" applyFill="1" applyBorder="1" applyAlignment="1" quotePrefix="1">
      <alignment horizontal="center" vertical="center" wrapText="1"/>
    </xf>
    <xf numFmtId="0" fontId="8" fillId="0" borderId="6" xfId="7" applyFill="1" applyBorder="1" applyAlignment="1" quotePrefix="1">
      <alignment horizontal="center" vertical="center"/>
    </xf>
    <xf numFmtId="0" fontId="4" fillId="0" borderId="9" xfId="0" applyFont="1" applyBorder="1" applyAlignment="1" quotePrefix="1">
      <alignment vertical="center"/>
    </xf>
    <xf numFmtId="0" fontId="4" fillId="0" borderId="6" xfId="0" applyFont="1" applyBorder="1" applyAlignment="1" quotePrefix="1">
      <alignment horizontal="center" vertical="center"/>
    </xf>
    <xf numFmtId="0" fontId="4" fillId="4" borderId="6" xfId="0" applyFont="1" applyFill="1" applyBorder="1" applyAlignment="1" quotePrefix="1">
      <alignment horizontal="center" vertical="center"/>
    </xf>
    <xf numFmtId="0" fontId="8" fillId="0" borderId="6" xfId="7" applyBorder="1" applyAlignment="1" quotePrefix="1">
      <alignment horizontal="center" vertical="center" wrapText="1"/>
    </xf>
    <xf numFmtId="0" fontId="4" fillId="0" borderId="11" xfId="0" applyFont="1" applyBorder="1" applyAlignment="1" quotePrefix="1">
      <alignment vertical="center"/>
    </xf>
    <xf numFmtId="0" fontId="4" fillId="0" borderId="12" xfId="0" applyFont="1" applyBorder="1" applyAlignment="1" quotePrefix="1">
      <alignment horizontal="center" vertical="center"/>
    </xf>
    <xf numFmtId="0" fontId="4" fillId="4" borderId="12" xfId="0" applyFont="1" applyFill="1" applyBorder="1" applyAlignment="1" quotePrefix="1">
      <alignment horizontal="center" vertical="center"/>
    </xf>
    <xf numFmtId="0" fontId="5" fillId="0" borderId="12" xfId="0" applyFont="1" applyBorder="1" applyAlignment="1" quotePrefix="1">
      <alignment horizontal="center" vertical="center"/>
    </xf>
    <xf numFmtId="0" fontId="5" fillId="5" borderId="12" xfId="0" applyFont="1" applyFill="1" applyBorder="1" applyAlignment="1" quotePrefix="1">
      <alignment horizontal="center" vertical="center" wrapText="1"/>
    </xf>
    <xf numFmtId="0" fontId="4" fillId="0" borderId="12" xfId="0" applyFont="1" applyBorder="1" applyAlignment="1" quotePrefix="1">
      <alignment horizontal="center" vertical="center" wrapText="1"/>
    </xf>
    <xf numFmtId="0" fontId="8" fillId="0" borderId="12" xfId="7" applyBorder="1" applyAlignment="1" quotePrefix="1">
      <alignment horizontal="center" vertical="center"/>
    </xf>
    <xf numFmtId="0" fontId="4" fillId="0" borderId="11" xfId="0" applyFont="1" applyBorder="1" applyAlignment="1" quotePrefix="1">
      <alignment vertical="center" wrapText="1"/>
    </xf>
    <xf numFmtId="0" fontId="4" fillId="4" borderId="12" xfId="0" applyFont="1" applyFill="1" applyBorder="1" applyAlignment="1" quotePrefix="1">
      <alignment horizontal="center" vertical="center" wrapText="1"/>
    </xf>
    <xf numFmtId="0" fontId="5" fillId="5" borderId="12" xfId="0" applyFont="1" applyFill="1" applyBorder="1" applyAlignment="1" quotePrefix="1">
      <alignment horizontal="center" vertical="center"/>
    </xf>
    <xf numFmtId="0" fontId="4" fillId="6" borderId="13" xfId="0" applyFont="1" applyFill="1" applyBorder="1" applyAlignment="1" quotePrefix="1">
      <alignment vertical="center" wrapText="1"/>
    </xf>
    <xf numFmtId="0" fontId="4" fillId="6" borderId="14" xfId="0" applyFont="1" applyFill="1" applyBorder="1" applyAlignment="1" quotePrefix="1">
      <alignment horizontal="center" vertical="center" wrapText="1"/>
    </xf>
    <xf numFmtId="0" fontId="4" fillId="4" borderId="14" xfId="0" applyFont="1" applyFill="1" applyBorder="1" applyAlignment="1" quotePrefix="1">
      <alignment horizontal="center" vertical="center" wrapText="1"/>
    </xf>
    <xf numFmtId="0" fontId="5" fillId="6" borderId="14" xfId="0" applyFont="1" applyFill="1" applyBorder="1" applyAlignment="1" quotePrefix="1">
      <alignment horizontal="center" vertical="center"/>
    </xf>
    <xf numFmtId="0" fontId="5" fillId="6" borderId="14" xfId="0" applyFont="1" applyFill="1" applyBorder="1" applyAlignment="1" quotePrefix="1">
      <alignment horizontal="center" vertical="center" wrapText="1"/>
    </xf>
    <xf numFmtId="0" fontId="4" fillId="6" borderId="14" xfId="0" applyFont="1" applyFill="1" applyBorder="1" applyAlignment="1" quotePrefix="1">
      <alignment horizontal="center" vertical="center"/>
    </xf>
    <xf numFmtId="0" fontId="8" fillId="0" borderId="14" xfId="7" applyBorder="1" applyAlignment="1" quotePrefix="1">
      <alignment horizontal="center" vertical="center"/>
    </xf>
    <xf numFmtId="0" fontId="4" fillId="6" borderId="11" xfId="0" applyFont="1" applyFill="1" applyBorder="1" applyAlignment="1" quotePrefix="1">
      <alignment vertical="center" wrapText="1"/>
    </xf>
    <xf numFmtId="0" fontId="4" fillId="6" borderId="12" xfId="0" applyFont="1" applyFill="1" applyBorder="1" applyAlignment="1" quotePrefix="1">
      <alignment horizontal="center" vertical="center" wrapText="1"/>
    </xf>
    <xf numFmtId="0" fontId="5" fillId="6" borderId="12" xfId="0" applyFont="1" applyFill="1" applyBorder="1" applyAlignment="1" quotePrefix="1">
      <alignment horizontal="center" vertical="center"/>
    </xf>
    <xf numFmtId="0" fontId="4" fillId="0" borderId="15" xfId="0" applyFont="1" applyBorder="1" applyAlignment="1" quotePrefix="1">
      <alignment vertical="center" wrapText="1"/>
    </xf>
    <xf numFmtId="0" fontId="4" fillId="0" borderId="16" xfId="0" applyFont="1" applyBorder="1" applyAlignment="1" quotePrefix="1">
      <alignment horizontal="center" vertical="center" wrapText="1"/>
    </xf>
    <xf numFmtId="0" fontId="4" fillId="4" borderId="16" xfId="0" applyFont="1" applyFill="1" applyBorder="1" applyAlignment="1" quotePrefix="1">
      <alignment horizontal="center" vertical="center" wrapText="1"/>
    </xf>
    <xf numFmtId="0" fontId="5" fillId="0" borderId="16" xfId="0" applyFont="1" applyBorder="1" applyAlignment="1" quotePrefix="1">
      <alignment horizontal="center" vertical="center"/>
    </xf>
    <xf numFmtId="0" fontId="4" fillId="5" borderId="16" xfId="0" applyFont="1" applyFill="1" applyBorder="1" applyAlignment="1" quotePrefix="1">
      <alignment horizontal="center" vertical="center"/>
    </xf>
    <xf numFmtId="0" fontId="8" fillId="0" borderId="16" xfId="7" applyBorder="1" applyAlignment="1" quotePrefix="1">
      <alignment horizontal="center" vertical="center"/>
    </xf>
    <xf numFmtId="0" fontId="8" fillId="5" borderId="6" xfId="7" applyFill="1" applyBorder="1" applyAlignment="1" quotePrefix="1">
      <alignment horizontal="center" vertical="center"/>
    </xf>
    <xf numFmtId="0" fontId="5" fillId="5" borderId="6" xfId="0" applyFont="1" applyFill="1" applyBorder="1" applyAlignment="1" quotePrefix="1">
      <alignment horizontal="center" vertical="center"/>
    </xf>
    <xf numFmtId="0" fontId="4" fillId="5" borderId="12" xfId="0" applyFont="1" applyFill="1" applyBorder="1" applyAlignment="1" quotePrefix="1">
      <alignment horizontal="center" vertical="center"/>
    </xf>
    <xf numFmtId="0" fontId="4" fillId="6" borderId="9" xfId="0" applyFont="1" applyFill="1" applyBorder="1" applyAlignment="1" quotePrefix="1">
      <alignment vertical="center"/>
    </xf>
    <xf numFmtId="0" fontId="4" fillId="6" borderId="6" xfId="0" applyFont="1" applyFill="1" applyBorder="1" applyAlignment="1" quotePrefix="1">
      <alignment horizontal="center" vertical="center" wrapText="1"/>
    </xf>
    <xf numFmtId="0" fontId="5" fillId="6" borderId="6" xfId="0" applyFont="1" applyFill="1" applyBorder="1" applyAlignment="1" quotePrefix="1">
      <alignment horizontal="center" vertical="center"/>
    </xf>
    <xf numFmtId="0" fontId="5" fillId="6" borderId="6" xfId="0" applyFont="1" applyFill="1" applyBorder="1" applyAlignment="1" quotePrefix="1">
      <alignment horizontal="center" vertical="center" wrapText="1"/>
    </xf>
    <xf numFmtId="0" fontId="4" fillId="6" borderId="6" xfId="0" applyFont="1" applyFill="1" applyBorder="1" applyAlignment="1" quotePrefix="1">
      <alignment horizontal="center" vertical="center"/>
    </xf>
    <xf numFmtId="0" fontId="8" fillId="4" borderId="12" xfId="7" applyFill="1" applyBorder="1" applyAlignment="1" quotePrefix="1">
      <alignment horizontal="center" vertical="center"/>
    </xf>
    <xf numFmtId="0" fontId="0" fillId="0" borderId="6" xfId="0" applyFill="1" applyBorder="1" applyAlignment="1" quotePrefix="1">
      <alignment horizontal="left" vertical="center"/>
    </xf>
    <xf numFmtId="0" fontId="4" fillId="0" borderId="6" xfId="0" applyFont="1" applyBorder="1" applyAlignment="1" quotePrefix="1">
      <alignment vertical="center" wrapText="1"/>
    </xf>
    <xf numFmtId="0" fontId="6" fillId="4" borderId="9" xfId="0" applyFont="1" applyFill="1" applyBorder="1" applyAlignment="1" quotePrefix="1">
      <alignment horizontal="left" vertical="center" wrapText="1"/>
    </xf>
    <xf numFmtId="0" fontId="6" fillId="4" borderId="6" xfId="0" applyFont="1" applyFill="1" applyBorder="1" applyAlignment="1" quotePrefix="1">
      <alignment horizontal="center" vertical="center" wrapText="1"/>
    </xf>
    <xf numFmtId="0" fontId="6" fillId="4" borderId="11" xfId="0" applyFont="1" applyFill="1" applyBorder="1" applyAlignment="1" quotePrefix="1">
      <alignment horizontal="left" vertical="center" wrapText="1"/>
    </xf>
    <xf numFmtId="0" fontId="6" fillId="4" borderId="17" xfId="0" applyFont="1" applyFill="1" applyBorder="1" applyAlignment="1" quotePrefix="1">
      <alignment horizontal="center" vertical="center" wrapText="1"/>
    </xf>
  </cellXfs>
  <cellStyles count="49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Hyperlink" xfId="7" builtinId="8"/>
    <cellStyle name="60% - Accent4" xfId="8" builtinId="44"/>
    <cellStyle name="Followed Hyperlink" xfId="9" builtinId="9"/>
    <cellStyle name="Check Cell" xfId="10" builtinId="23"/>
    <cellStyle name="Heading 2" xfId="11" builtinId="17"/>
    <cellStyle name="Note" xfId="12" builtinId="10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20% - Accent5" xfId="32" builtinId="46"/>
    <cellStyle name="60% - Accent1" xfId="33" builtinId="32"/>
    <cellStyle name="Accent2" xfId="34" builtinId="33"/>
    <cellStyle name="20% - Accent2" xfId="35" builtinId="34"/>
    <cellStyle name="20% - Accent6" xfId="36" builtinId="50"/>
    <cellStyle name="60% - Accent2" xfId="37" builtinId="36"/>
    <cellStyle name="Accent3" xfId="38" builtinId="37"/>
    <cellStyle name="20% - Accent3" xfId="39" builtinId="38"/>
    <cellStyle name="Accent4" xfId="40" builtinId="41"/>
    <cellStyle name="20% - Accent4" xfId="41" builtinId="42"/>
    <cellStyle name="40% - Accent4" xfId="42" builtinId="43"/>
    <cellStyle name="Accent5" xfId="43" builtinId="45"/>
    <cellStyle name="40% - Accent5" xfId="44" builtinId="47"/>
    <cellStyle name="60% - Accent5" xfId="45" builtinId="48"/>
    <cellStyle name="Accent6" xfId="46" builtinId="49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9" Type="http://schemas.openxmlformats.org/officeDocument/2006/relationships/hyperlink" Target="https://www.lcsc.com/product-detail/Chip-Resistor-Surface-Mount_YAGEO-AC0603JR-0710KL_C140867.html" TargetMode="External"/><Relationship Id="rId8" Type="http://schemas.openxmlformats.org/officeDocument/2006/relationships/hyperlink" Target="https://www.utsource.net/itm/p/819662.html?digipart=1" TargetMode="External"/><Relationship Id="rId7" Type="http://schemas.openxmlformats.org/officeDocument/2006/relationships/hyperlink" Target="https://www.lcsc.com/product-detail/Schottky-Barrier-Diodes-SBD_Tak-Cheong-MSK4010_C968723.html" TargetMode="External"/><Relationship Id="rId6" Type="http://schemas.openxmlformats.org/officeDocument/2006/relationships/hyperlink" Target="https://www.lcsc.com/product-detail/Schottky-Barrier-Diodes-SBD_Nexperia-PMEG3030EP-115_C255587.html" TargetMode="External"/><Relationship Id="rId5" Type="http://schemas.openxmlformats.org/officeDocument/2006/relationships/hyperlink" Target="https://www.lcsc.com/product-detail/Multilayer-Ceramic-Capacitors-MLCC-SMD-SMT_YAGEO-CC1206KKX7RDBB102_C23631.html" TargetMode="External"/><Relationship Id="rId4" Type="http://schemas.openxmlformats.org/officeDocument/2006/relationships/hyperlink" Target="https://www.lcsc.com/product-detail/Tantalum-Capacitors_CEC-Shenzhen-Zhenhua-XinYun-Elec-CA45A-A-10V-22uF-K_C141745.html" TargetMode="External"/><Relationship Id="rId3" Type="http://schemas.openxmlformats.org/officeDocument/2006/relationships/hyperlink" Target="https://www.lcsc.com/product-detail/Aluminum-Electrolytic-Capacitors-SMD_Honor-Elec-RVT1E100M0405_C3343.html" TargetMode="External"/><Relationship Id="rId21" Type="http://schemas.openxmlformats.org/officeDocument/2006/relationships/hyperlink" Target="https://www.alibaba.com/product-detail/IC-STEPPER-MOTOR-DRIVER-RoHS-TMC2202_1600143313562.html?spm=a2700.galleryofferlist.normal_offer.d_title.1b6e460eVRgoNU" TargetMode="External"/><Relationship Id="rId20" Type="http://schemas.openxmlformats.org/officeDocument/2006/relationships/hyperlink" Target="https://www.lcsc.com/product-detail/Chip-span-style-background-color-ff0-Resistor-span-Surface-Mount_YAGEO-RL2512FK-070R075L_C705611.html" TargetMode="External"/><Relationship Id="rId2" Type="http://schemas.openxmlformats.org/officeDocument/2006/relationships/hyperlink" Target="https://www.lcsc.com/product-detail/Aluminum-Electrolytic-Capacitors-SMD_Ymin-VKMD1001J101MV_C487384.html" TargetMode="External"/><Relationship Id="rId19" Type="http://schemas.openxmlformats.org/officeDocument/2006/relationships/hyperlink" Target="https://www.lcsc.com/product-detail/Multilayer-Ceramic-Capacitors-MLCC-SMD-SMT_Taiyo-Yuden-UMK107BBJ225KA-T_C268016.html" TargetMode="External"/><Relationship Id="rId18" Type="http://schemas.openxmlformats.org/officeDocument/2006/relationships/hyperlink" Target="https://www.lcsc.com/product-detail/Multilayer-Ceramic-Capacitors-MLCC-SMD-SMT_Samsung-Electro-Mechanics-CL10B223KB8NNNC_C21122.html" TargetMode="External"/><Relationship Id="rId17" Type="http://schemas.openxmlformats.org/officeDocument/2006/relationships/hyperlink" Target="https://www.lcsc.com/product-detail/Pin-Headers_TE-Connectivity-826629-2_C86471.html" TargetMode="External"/><Relationship Id="rId16" Type="http://schemas.openxmlformats.org/officeDocument/2006/relationships/hyperlink" Target="https://www.lcsc.com/product-detail/Linear-Voltage-Regulators-LDO_Diodes-Incorporated-AZ1117CH-3-3TRG1_C92102.html" TargetMode="External"/><Relationship Id="rId15" Type="http://schemas.openxmlformats.org/officeDocument/2006/relationships/hyperlink" Target="https://www.lcsc.com/product-detail/DC-DC-Converters_XLSEMI-XL4001E1_C73347.html" TargetMode="External"/><Relationship Id="rId14" Type="http://schemas.openxmlformats.org/officeDocument/2006/relationships/hyperlink" Target="https://www.lcsc.com/product-detail/Chip-Resistor-Surface-Mount_YAGEO-RC0603FR-0749K9L_C114624.html" TargetMode="External"/><Relationship Id="rId13" Type="http://schemas.openxmlformats.org/officeDocument/2006/relationships/hyperlink" Target="https://www.lcsc.com/product-detail/Chip-Resistor-Surface-Mount_UNI-ROYAL-Uniroyal-Elec-0805W8F9001T5E_C247026.html" TargetMode="External"/><Relationship Id="rId12" Type="http://schemas.openxmlformats.org/officeDocument/2006/relationships/hyperlink" Target="https://www.lcsc.com/product-detail/Chip-Resistor-Surface-Mount_RALEC-RTT25R18JTE_C159165.html" TargetMode="External"/><Relationship Id="rId11" Type="http://schemas.openxmlformats.org/officeDocument/2006/relationships/hyperlink" Target="https://www.lcsc.com/product-detail/Chip-Resistor-Surface-Mount_YAGEO-RC0603FR-071KL_C22548.html" TargetMode="External"/><Relationship Id="rId10" Type="http://schemas.openxmlformats.org/officeDocument/2006/relationships/hyperlink" Target="https://www.lcsc.com/product-detail/Chip-Resistor-Surface-Mount_YAGEO-RC0603JR-07330RL_C105879.html" TargetMode="External"/><Relationship Id="rId1" Type="http://schemas.openxmlformats.org/officeDocument/2006/relationships/hyperlink" Target="https://www.lcsc.com/product-detail/Aluminum-Electrolytic-Capacitors-SMD_Ymin-VKMB1001E101MV_C487322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H51"/>
  <sheetViews>
    <sheetView tabSelected="1" zoomScale="85" zoomScaleNormal="85" workbookViewId="0">
      <selection activeCell="C44" sqref="C44"/>
    </sheetView>
  </sheetViews>
  <sheetFormatPr defaultColWidth="9" defaultRowHeight="15"/>
  <cols>
    <col min="1" max="1" width="6.14285714285714" style="1" customWidth="1"/>
    <col min="2" max="2" width="14.4285714285714" customWidth="1"/>
    <col min="3" max="3" width="47.5714285714286" customWidth="1"/>
    <col min="4" max="4" width="33.1428571428571" customWidth="1"/>
    <col min="5" max="5" width="21" customWidth="1"/>
    <col min="6" max="6" width="29" customWidth="1"/>
    <col min="7" max="7" width="19.1428571428571" customWidth="1"/>
    <col min="8" max="8" width="14.4285714285714" style="1" customWidth="1"/>
    <col min="9" max="9" width="21.5714285714286" customWidth="1"/>
    <col min="10" max="10" width="7" customWidth="1"/>
    <col min="11" max="11" width="11.5714285714286" customWidth="1"/>
    <col min="12" max="12" width="21.8571428571429" customWidth="1"/>
    <col min="13" max="13" width="14.1428571428571" customWidth="1"/>
    <col min="14" max="14" width="10.2857142857143" customWidth="1"/>
    <col min="15" max="15" width="12.7142857142857" customWidth="1"/>
    <col min="16" max="16" width="13.4285714285714" customWidth="1"/>
    <col min="17" max="17" width="14.1428571428571" customWidth="1"/>
    <col min="18" max="18" width="26.5714285714286" customWidth="1"/>
  </cols>
  <sheetData>
    <row r="1" ht="16.5" spans="1:34">
      <c r="A1" s="2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130"/>
      <c r="T1" s="130"/>
      <c r="U1" s="130"/>
      <c r="V1" s="130"/>
      <c r="W1" s="130"/>
      <c r="X1" s="130"/>
      <c r="Y1" s="130"/>
      <c r="Z1" s="130"/>
      <c r="AA1" s="130"/>
      <c r="AB1" s="130"/>
      <c r="AC1" s="130"/>
      <c r="AD1" s="130"/>
      <c r="AE1" s="130"/>
      <c r="AF1" s="130"/>
      <c r="AG1" s="130"/>
      <c r="AH1" s="155"/>
    </row>
    <row r="2" ht="32.25" spans="1:18">
      <c r="A2" s="4" t="s">
        <v>1</v>
      </c>
      <c r="B2" s="5" t="s">
        <v>2</v>
      </c>
      <c r="C2" s="6" t="s">
        <v>3</v>
      </c>
      <c r="D2" s="6" t="s">
        <v>4</v>
      </c>
      <c r="E2" s="6" t="s">
        <v>5</v>
      </c>
      <c r="F2" s="6" t="s">
        <v>6</v>
      </c>
      <c r="G2" s="6" t="s">
        <v>7</v>
      </c>
      <c r="H2" s="6" t="s">
        <v>8</v>
      </c>
      <c r="I2" s="6" t="s">
        <v>9</v>
      </c>
      <c r="J2" s="6" t="s">
        <v>10</v>
      </c>
      <c r="K2" s="6" t="s">
        <v>11</v>
      </c>
      <c r="L2" s="6" t="s">
        <v>12</v>
      </c>
      <c r="M2" s="6" t="s">
        <v>13</v>
      </c>
      <c r="N2" s="63" t="s">
        <v>14</v>
      </c>
      <c r="O2" s="64" t="s">
        <v>15</v>
      </c>
      <c r="P2" s="65" t="s">
        <v>16</v>
      </c>
      <c r="Q2" s="6" t="s">
        <v>17</v>
      </c>
      <c r="R2" s="131" t="s">
        <v>18</v>
      </c>
    </row>
    <row r="3" ht="15.75" spans="1:19">
      <c r="A3" s="7">
        <v>1</v>
      </c>
      <c r="B3" s="8" t="s">
        <v>19</v>
      </c>
      <c r="C3" s="156" t="s">
        <v>20</v>
      </c>
      <c r="D3" s="156" t="s">
        <v>21</v>
      </c>
      <c r="E3" s="156" t="s">
        <v>22</v>
      </c>
      <c r="F3" s="157" t="s">
        <v>23</v>
      </c>
      <c r="G3" s="158" t="s">
        <v>24</v>
      </c>
      <c r="J3" s="159" t="s">
        <v>25</v>
      </c>
      <c r="K3" s="42"/>
      <c r="L3" s="9">
        <v>4</v>
      </c>
      <c r="M3" s="67"/>
      <c r="N3" s="68"/>
      <c r="O3" s="69"/>
      <c r="P3" s="70"/>
      <c r="Q3" s="132"/>
      <c r="R3" s="133"/>
      <c r="S3" s="134"/>
    </row>
    <row r="4" ht="15.75" spans="1:19">
      <c r="A4" s="7">
        <v>2</v>
      </c>
      <c r="B4" s="12"/>
      <c r="C4" s="156" t="s">
        <v>26</v>
      </c>
      <c r="D4" s="156" t="s">
        <v>27</v>
      </c>
      <c r="E4" s="156" t="s">
        <v>22</v>
      </c>
      <c r="F4" s="157" t="s">
        <v>28</v>
      </c>
      <c r="G4" s="158" t="s">
        <v>29</v>
      </c>
      <c r="J4" s="159" t="s">
        <v>30</v>
      </c>
      <c r="K4" s="14"/>
      <c r="L4" s="9">
        <v>1</v>
      </c>
      <c r="M4" s="20"/>
      <c r="N4" s="71"/>
      <c r="O4" s="72"/>
      <c r="P4" s="73"/>
      <c r="Q4" s="135"/>
      <c r="R4" s="136"/>
      <c r="S4" s="134"/>
    </row>
    <row r="5" ht="15.75" spans="1:19">
      <c r="A5" s="7">
        <v>3</v>
      </c>
      <c r="B5" s="12"/>
      <c r="C5" s="156" t="s">
        <v>31</v>
      </c>
      <c r="D5" s="156" t="s">
        <v>32</v>
      </c>
      <c r="E5" s="156" t="s">
        <v>33</v>
      </c>
      <c r="F5" s="157" t="s">
        <v>34</v>
      </c>
      <c r="G5" s="158" t="s">
        <v>35</v>
      </c>
      <c r="J5" s="159" t="s">
        <v>36</v>
      </c>
      <c r="K5" s="14"/>
      <c r="L5" s="9">
        <v>1</v>
      </c>
      <c r="M5" s="20"/>
      <c r="N5" s="71"/>
      <c r="O5" s="72"/>
      <c r="P5" s="73"/>
      <c r="Q5" s="135"/>
      <c r="R5" s="136"/>
      <c r="S5" s="134"/>
    </row>
    <row r="6" ht="15.75" spans="1:19">
      <c r="A6" s="7">
        <v>4</v>
      </c>
      <c r="B6" s="12"/>
      <c r="C6" s="156" t="s">
        <v>37</v>
      </c>
      <c r="D6" s="156" t="s">
        <v>38</v>
      </c>
      <c r="E6" s="156" t="s">
        <v>22</v>
      </c>
      <c r="F6" s="157" t="s">
        <v>39</v>
      </c>
      <c r="G6" s="158" t="s">
        <v>40</v>
      </c>
      <c r="J6" s="159" t="s">
        <v>41</v>
      </c>
      <c r="K6" s="14"/>
      <c r="L6" s="9">
        <v>8</v>
      </c>
      <c r="M6" s="20"/>
      <c r="N6" s="74"/>
      <c r="O6" s="75"/>
      <c r="P6" s="76"/>
      <c r="Q6" s="135"/>
      <c r="R6" s="136"/>
      <c r="S6" s="134"/>
    </row>
    <row r="7" spans="1:19">
      <c r="A7" s="7">
        <v>6</v>
      </c>
      <c r="B7" s="12"/>
      <c r="C7" s="160" t="s">
        <v>42</v>
      </c>
      <c r="D7" s="161" t="s">
        <v>43</v>
      </c>
      <c r="E7" s="161" t="s">
        <v>22</v>
      </c>
      <c r="F7" s="162" t="s">
        <v>44</v>
      </c>
      <c r="G7" s="163" t="s">
        <v>45</v>
      </c>
      <c r="H7" s="17" t="s">
        <v>46</v>
      </c>
      <c r="I7" s="164" t="s">
        <v>47</v>
      </c>
      <c r="J7" s="161" t="s">
        <v>48</v>
      </c>
      <c r="K7" s="14">
        <v>1300</v>
      </c>
      <c r="L7" s="16">
        <v>3</v>
      </c>
      <c r="M7" s="20">
        <f>L7*400</f>
        <v>1200</v>
      </c>
      <c r="N7" s="165" t="s">
        <v>49</v>
      </c>
      <c r="O7" s="72">
        <v>0.0042</v>
      </c>
      <c r="P7" s="73">
        <f>O7*K7</f>
        <v>5.46</v>
      </c>
      <c r="Q7" s="135"/>
      <c r="R7" s="136"/>
      <c r="S7" s="134"/>
    </row>
    <row r="8" spans="1:19">
      <c r="A8" s="7">
        <v>7</v>
      </c>
      <c r="B8" s="12"/>
      <c r="C8" s="160" t="s">
        <v>50</v>
      </c>
      <c r="D8" s="161" t="s">
        <v>51</v>
      </c>
      <c r="E8" s="161" t="s">
        <v>22</v>
      </c>
      <c r="F8" s="162" t="s">
        <v>52</v>
      </c>
      <c r="G8" s="163" t="s">
        <v>53</v>
      </c>
      <c r="H8" s="17" t="s">
        <v>54</v>
      </c>
      <c r="I8" s="17" t="s">
        <v>55</v>
      </c>
      <c r="J8" s="161" t="s">
        <v>56</v>
      </c>
      <c r="K8" s="14">
        <v>420</v>
      </c>
      <c r="L8" s="16">
        <v>1</v>
      </c>
      <c r="M8" s="20">
        <f>L8*400</f>
        <v>400</v>
      </c>
      <c r="N8" s="165" t="s">
        <v>49</v>
      </c>
      <c r="O8" s="78">
        <v>0.0302</v>
      </c>
      <c r="P8" s="73">
        <f>O8*K8</f>
        <v>12.684</v>
      </c>
      <c r="Q8" s="135"/>
      <c r="R8" s="136"/>
      <c r="S8" s="134"/>
    </row>
    <row r="9" ht="26.25" spans="1:19">
      <c r="A9" s="7">
        <v>8</v>
      </c>
      <c r="B9" s="12"/>
      <c r="C9" s="160" t="s">
        <v>57</v>
      </c>
      <c r="D9" s="161" t="s">
        <v>58</v>
      </c>
      <c r="E9" s="161" t="s">
        <v>59</v>
      </c>
      <c r="F9" s="162" t="s">
        <v>60</v>
      </c>
      <c r="G9" s="166" t="s">
        <v>61</v>
      </c>
      <c r="H9" s="17" t="s">
        <v>62</v>
      </c>
      <c r="I9" s="167" t="s">
        <v>63</v>
      </c>
      <c r="J9" s="161" t="s">
        <v>64</v>
      </c>
      <c r="K9" s="14">
        <v>420</v>
      </c>
      <c r="L9" s="53">
        <v>1</v>
      </c>
      <c r="M9" s="20">
        <f>L9*400</f>
        <v>400</v>
      </c>
      <c r="N9" s="168" t="s">
        <v>49</v>
      </c>
      <c r="O9" s="80">
        <v>0.0585</v>
      </c>
      <c r="P9" s="81">
        <f>O9*K9</f>
        <v>24.57</v>
      </c>
      <c r="Q9" s="137"/>
      <c r="R9" s="136"/>
      <c r="S9" s="134"/>
    </row>
    <row r="10" ht="26.25" spans="1:19">
      <c r="A10" s="7">
        <v>9</v>
      </c>
      <c r="B10" s="12"/>
      <c r="C10" s="160" t="s">
        <v>65</v>
      </c>
      <c r="D10" s="161" t="s">
        <v>66</v>
      </c>
      <c r="E10" s="161" t="s">
        <v>59</v>
      </c>
      <c r="F10" s="162" t="s">
        <v>67</v>
      </c>
      <c r="G10" s="166" t="s">
        <v>61</v>
      </c>
      <c r="H10" s="17" t="s">
        <v>68</v>
      </c>
      <c r="I10" s="167" t="s">
        <v>63</v>
      </c>
      <c r="J10" s="161" t="s">
        <v>64</v>
      </c>
      <c r="K10" s="14">
        <v>850</v>
      </c>
      <c r="L10" s="53">
        <v>2</v>
      </c>
      <c r="M10" s="20">
        <f>L10*400</f>
        <v>800</v>
      </c>
      <c r="N10" s="168" t="s">
        <v>49</v>
      </c>
      <c r="O10" s="80">
        <v>0.1257</v>
      </c>
      <c r="P10" s="81">
        <f>O10*K10</f>
        <v>106.845</v>
      </c>
      <c r="Q10" s="137"/>
      <c r="R10" s="136"/>
      <c r="S10" s="134"/>
    </row>
    <row r="11" ht="15.75" spans="1:19">
      <c r="A11" s="7">
        <v>10</v>
      </c>
      <c r="B11" s="12"/>
      <c r="C11" s="160" t="s">
        <v>69</v>
      </c>
      <c r="D11" s="161" t="s">
        <v>70</v>
      </c>
      <c r="E11" s="161" t="s">
        <v>59</v>
      </c>
      <c r="F11" s="162" t="s">
        <v>71</v>
      </c>
      <c r="G11" s="163" t="s">
        <v>72</v>
      </c>
      <c r="H11" s="17" t="s">
        <v>73</v>
      </c>
      <c r="I11" s="167" t="s">
        <v>63</v>
      </c>
      <c r="J11" s="161" t="s">
        <v>74</v>
      </c>
      <c r="K11" s="14">
        <v>420</v>
      </c>
      <c r="L11" s="16">
        <v>1</v>
      </c>
      <c r="M11" s="20">
        <f>L11*400</f>
        <v>400</v>
      </c>
      <c r="N11" s="165" t="s">
        <v>49</v>
      </c>
      <c r="O11" s="72">
        <v>0.0281</v>
      </c>
      <c r="P11" s="73">
        <f>O11*K11</f>
        <v>11.802</v>
      </c>
      <c r="Q11" s="135"/>
      <c r="R11" s="136"/>
      <c r="S11" s="134"/>
    </row>
    <row r="12" ht="15.75" spans="1:19">
      <c r="A12" s="7">
        <v>11</v>
      </c>
      <c r="B12" s="12"/>
      <c r="C12" s="169" t="s">
        <v>75</v>
      </c>
      <c r="D12" s="170" t="s">
        <v>76</v>
      </c>
      <c r="E12" s="170" t="s">
        <v>77</v>
      </c>
      <c r="F12" s="171" t="s">
        <v>78</v>
      </c>
      <c r="G12" s="163" t="s">
        <v>79</v>
      </c>
      <c r="H12" s="17" t="s">
        <v>80</v>
      </c>
      <c r="I12" s="167" t="s">
        <v>63</v>
      </c>
      <c r="J12" s="161" t="s">
        <v>81</v>
      </c>
      <c r="K12" s="14">
        <v>420</v>
      </c>
      <c r="L12" s="18">
        <v>1</v>
      </c>
      <c r="M12" s="14">
        <f>L12*400</f>
        <v>400</v>
      </c>
      <c r="N12" s="172" t="s">
        <v>49</v>
      </c>
      <c r="O12" s="83">
        <v>0.067</v>
      </c>
      <c r="P12" s="84">
        <f>O12*K12</f>
        <v>28.14</v>
      </c>
      <c r="Q12" s="138"/>
      <c r="R12" s="139"/>
      <c r="S12" s="140"/>
    </row>
    <row r="13" spans="1:19">
      <c r="A13" s="7">
        <v>12</v>
      </c>
      <c r="B13" s="22"/>
      <c r="C13" s="173" t="s">
        <v>82</v>
      </c>
      <c r="D13" s="174" t="s">
        <v>83</v>
      </c>
      <c r="E13" s="174" t="s">
        <v>84</v>
      </c>
      <c r="F13" s="175" t="s">
        <v>85</v>
      </c>
      <c r="G13" s="176" t="s">
        <v>86</v>
      </c>
      <c r="H13" s="27" t="s">
        <v>87</v>
      </c>
      <c r="I13" s="177" t="s">
        <v>63</v>
      </c>
      <c r="J13" s="178" t="s">
        <v>88</v>
      </c>
      <c r="K13" s="30">
        <v>450</v>
      </c>
      <c r="L13" s="26">
        <v>1</v>
      </c>
      <c r="M13" s="24">
        <f>L13*400</f>
        <v>400</v>
      </c>
      <c r="N13" s="179" t="s">
        <v>49</v>
      </c>
      <c r="O13" s="87">
        <v>0.0153</v>
      </c>
      <c r="P13" s="88">
        <f>O13*K13</f>
        <v>6.885</v>
      </c>
      <c r="Q13" s="141"/>
      <c r="R13" s="136"/>
      <c r="S13" s="134"/>
    </row>
    <row r="14" spans="1:19">
      <c r="A14" s="7">
        <v>14</v>
      </c>
      <c r="B14" s="12" t="s">
        <v>89</v>
      </c>
      <c r="C14" s="169" t="s">
        <v>90</v>
      </c>
      <c r="D14" s="161" t="s">
        <v>91</v>
      </c>
      <c r="E14" s="170" t="s">
        <v>92</v>
      </c>
      <c r="F14" s="162" t="s">
        <v>93</v>
      </c>
      <c r="G14" s="161" t="s">
        <v>94</v>
      </c>
      <c r="H14" s="28" t="s">
        <v>95</v>
      </c>
      <c r="I14" s="167" t="s">
        <v>63</v>
      </c>
      <c r="J14" s="163" t="s">
        <v>96</v>
      </c>
      <c r="K14" s="14">
        <v>420</v>
      </c>
      <c r="L14" s="53">
        <v>1</v>
      </c>
      <c r="M14" s="20">
        <f>L14*400</f>
        <v>400</v>
      </c>
      <c r="N14" s="165" t="s">
        <v>49</v>
      </c>
      <c r="O14" s="72">
        <v>0.1888</v>
      </c>
      <c r="P14" s="73">
        <f>O14*K14</f>
        <v>79.296</v>
      </c>
      <c r="Q14" s="142"/>
      <c r="R14" s="136"/>
      <c r="S14" s="134"/>
    </row>
    <row r="15" spans="1:19">
      <c r="A15" s="7">
        <v>15</v>
      </c>
      <c r="B15" s="22"/>
      <c r="C15" s="180" t="s">
        <v>97</v>
      </c>
      <c r="D15" s="178" t="s">
        <v>98</v>
      </c>
      <c r="E15" s="178" t="s">
        <v>99</v>
      </c>
      <c r="F15" s="181" t="s">
        <v>100</v>
      </c>
      <c r="G15" s="178" t="s">
        <v>101</v>
      </c>
      <c r="H15" s="182" t="s">
        <v>102</v>
      </c>
      <c r="I15" s="177" t="s">
        <v>63</v>
      </c>
      <c r="J15" s="176" t="s">
        <v>96</v>
      </c>
      <c r="K15" s="30">
        <v>420</v>
      </c>
      <c r="L15" s="89">
        <v>1</v>
      </c>
      <c r="M15" s="24">
        <f>L15*400</f>
        <v>400</v>
      </c>
      <c r="N15" s="179" t="s">
        <v>49</v>
      </c>
      <c r="O15" s="90">
        <v>0.0203</v>
      </c>
      <c r="P15" s="91">
        <f>O15*K15</f>
        <v>8.526</v>
      </c>
      <c r="Q15" s="143"/>
      <c r="R15" s="136"/>
      <c r="S15" s="134"/>
    </row>
    <row r="16" spans="1:19">
      <c r="A16" s="7">
        <v>16</v>
      </c>
      <c r="B16" s="32" t="s">
        <v>103</v>
      </c>
      <c r="C16" s="183" t="s">
        <v>104</v>
      </c>
      <c r="D16" s="184" t="s">
        <v>105</v>
      </c>
      <c r="E16" s="184" t="s">
        <v>106</v>
      </c>
      <c r="F16" s="185" t="s">
        <v>107</v>
      </c>
      <c r="G16" s="186" t="s">
        <v>108</v>
      </c>
      <c r="H16" s="187" t="s">
        <v>63</v>
      </c>
      <c r="I16" s="188" t="s">
        <v>63</v>
      </c>
      <c r="J16" s="186" t="s">
        <v>96</v>
      </c>
      <c r="K16" s="36">
        <v>420</v>
      </c>
      <c r="L16" s="93">
        <v>1</v>
      </c>
      <c r="M16" s="94">
        <f>L16*400</f>
        <v>400</v>
      </c>
      <c r="N16" s="189" t="s">
        <v>109</v>
      </c>
      <c r="O16" s="96">
        <v>0.08158</v>
      </c>
      <c r="P16" s="97">
        <f>O16*K16</f>
        <v>34.2636</v>
      </c>
      <c r="Q16" s="144"/>
      <c r="R16" s="145">
        <v>0.189</v>
      </c>
      <c r="S16" s="134"/>
    </row>
    <row r="17" ht="15.75" spans="1:19">
      <c r="A17" s="7">
        <v>20</v>
      </c>
      <c r="B17" s="22" t="s">
        <v>110</v>
      </c>
      <c r="C17" s="190" t="s">
        <v>111</v>
      </c>
      <c r="D17" s="191" t="s">
        <v>112</v>
      </c>
      <c r="E17" s="191" t="s">
        <v>59</v>
      </c>
      <c r="F17" s="181" t="s">
        <v>113</v>
      </c>
      <c r="G17" s="192" t="s">
        <v>114</v>
      </c>
      <c r="H17" s="40"/>
      <c r="I17" s="98"/>
      <c r="J17" s="192" t="s">
        <v>96</v>
      </c>
      <c r="K17" s="40"/>
      <c r="L17" s="40">
        <v>1</v>
      </c>
      <c r="M17" s="99">
        <f>L17*400</f>
        <v>400</v>
      </c>
      <c r="N17" s="100"/>
      <c r="O17" s="90"/>
      <c r="P17" s="91">
        <f>O17*K17</f>
        <v>0</v>
      </c>
      <c r="Q17" s="146"/>
      <c r="R17" s="145">
        <v>0.977</v>
      </c>
      <c r="S17" s="134"/>
    </row>
    <row r="18" spans="1:19">
      <c r="A18" s="7">
        <v>21</v>
      </c>
      <c r="B18" s="8" t="s">
        <v>115</v>
      </c>
      <c r="C18" s="193" t="s">
        <v>116</v>
      </c>
      <c r="D18" s="194" t="s">
        <v>117</v>
      </c>
      <c r="E18" s="194" t="s">
        <v>118</v>
      </c>
      <c r="F18" s="195" t="s">
        <v>119</v>
      </c>
      <c r="G18" s="196" t="s">
        <v>86</v>
      </c>
      <c r="H18" s="45" t="s">
        <v>120</v>
      </c>
      <c r="I18" s="197" t="s">
        <v>63</v>
      </c>
      <c r="J18" s="194" t="s">
        <v>121</v>
      </c>
      <c r="K18" s="42">
        <v>6100</v>
      </c>
      <c r="L18" s="42">
        <v>2</v>
      </c>
      <c r="M18" s="102">
        <f>L18*400</f>
        <v>800</v>
      </c>
      <c r="N18" s="198" t="s">
        <v>49</v>
      </c>
      <c r="O18" s="69">
        <v>0.0014</v>
      </c>
      <c r="P18" s="70">
        <f>O18*K18</f>
        <v>8.54</v>
      </c>
      <c r="Q18" s="132"/>
      <c r="R18" s="136"/>
      <c r="S18" s="134"/>
    </row>
    <row r="19" ht="15.75" spans="1:19">
      <c r="A19" s="7">
        <v>23</v>
      </c>
      <c r="B19" s="12"/>
      <c r="C19" s="160" t="s">
        <v>122</v>
      </c>
      <c r="D19" s="14" t="s">
        <v>123</v>
      </c>
      <c r="E19" s="161" t="s">
        <v>118</v>
      </c>
      <c r="F19" s="162" t="s">
        <v>124</v>
      </c>
      <c r="G19" s="163" t="s">
        <v>86</v>
      </c>
      <c r="H19" s="17" t="s">
        <v>125</v>
      </c>
      <c r="I19" s="164" t="s">
        <v>63</v>
      </c>
      <c r="J19" s="161" t="s">
        <v>126</v>
      </c>
      <c r="K19" s="14">
        <v>1300</v>
      </c>
      <c r="L19" s="15">
        <v>2</v>
      </c>
      <c r="M19" s="20">
        <f>L19*400</f>
        <v>800</v>
      </c>
      <c r="N19" s="199" t="s">
        <v>49</v>
      </c>
      <c r="O19" s="105">
        <v>0.0009</v>
      </c>
      <c r="P19" s="106">
        <f>O19*K19</f>
        <v>1.17</v>
      </c>
      <c r="Q19" s="147"/>
      <c r="R19" s="136"/>
      <c r="S19" s="134"/>
    </row>
    <row r="20" ht="15.75" spans="1:19">
      <c r="A20" s="7">
        <v>24</v>
      </c>
      <c r="B20" s="12"/>
      <c r="C20" s="160" t="s">
        <v>127</v>
      </c>
      <c r="D20" s="14" t="s">
        <v>128</v>
      </c>
      <c r="E20" s="161" t="s">
        <v>118</v>
      </c>
      <c r="F20" s="162" t="s">
        <v>129</v>
      </c>
      <c r="G20" s="163" t="s">
        <v>86</v>
      </c>
      <c r="H20" s="17" t="s">
        <v>130</v>
      </c>
      <c r="I20" s="164" t="s">
        <v>63</v>
      </c>
      <c r="J20" s="161" t="s">
        <v>131</v>
      </c>
      <c r="K20" s="14">
        <v>2500</v>
      </c>
      <c r="L20" s="14">
        <v>3</v>
      </c>
      <c r="M20" s="20">
        <f>L20*400</f>
        <v>1200</v>
      </c>
      <c r="N20" s="165" t="s">
        <v>49</v>
      </c>
      <c r="O20" s="72">
        <v>0.001</v>
      </c>
      <c r="P20" s="73">
        <f>O20*K20</f>
        <v>2.5</v>
      </c>
      <c r="Q20" s="135"/>
      <c r="R20" s="136"/>
      <c r="S20" s="134"/>
    </row>
    <row r="21" spans="1:19">
      <c r="A21" s="7">
        <v>26</v>
      </c>
      <c r="B21" s="12"/>
      <c r="C21" s="160" t="s">
        <v>132</v>
      </c>
      <c r="D21" s="161" t="s">
        <v>133</v>
      </c>
      <c r="E21" s="161" t="s">
        <v>134</v>
      </c>
      <c r="F21" s="162" t="s">
        <v>135</v>
      </c>
      <c r="G21" s="163" t="s">
        <v>136</v>
      </c>
      <c r="H21" s="17" t="s">
        <v>137</v>
      </c>
      <c r="I21" s="164" t="s">
        <v>63</v>
      </c>
      <c r="J21" s="161" t="s">
        <v>138</v>
      </c>
      <c r="K21" s="14">
        <v>850</v>
      </c>
      <c r="L21" s="14">
        <v>2</v>
      </c>
      <c r="M21" s="20">
        <f>L21*400</f>
        <v>800</v>
      </c>
      <c r="N21" s="165" t="s">
        <v>49</v>
      </c>
      <c r="O21" s="72">
        <v>0.0307</v>
      </c>
      <c r="P21" s="73">
        <f>O21*K21</f>
        <v>26.095</v>
      </c>
      <c r="Q21" s="135"/>
      <c r="R21" s="136"/>
      <c r="S21" s="134"/>
    </row>
    <row r="22" spans="1:19">
      <c r="A22" s="7">
        <v>27</v>
      </c>
      <c r="B22" s="12"/>
      <c r="C22" s="160" t="s">
        <v>139</v>
      </c>
      <c r="D22" s="161" t="s">
        <v>140</v>
      </c>
      <c r="E22" s="161" t="s">
        <v>134</v>
      </c>
      <c r="F22" s="162" t="s">
        <v>141</v>
      </c>
      <c r="G22" s="163" t="s">
        <v>142</v>
      </c>
      <c r="H22" s="17" t="s">
        <v>143</v>
      </c>
      <c r="I22" s="200" t="s">
        <v>144</v>
      </c>
      <c r="J22" s="161" t="s">
        <v>145</v>
      </c>
      <c r="K22" s="14">
        <v>420</v>
      </c>
      <c r="L22" s="14">
        <v>1</v>
      </c>
      <c r="M22" s="20">
        <f>L22*400</f>
        <v>400</v>
      </c>
      <c r="N22" s="165" t="s">
        <v>49</v>
      </c>
      <c r="O22" s="72">
        <v>0.0824</v>
      </c>
      <c r="P22" s="73">
        <f>O22*K22</f>
        <v>34.608</v>
      </c>
      <c r="Q22" s="135"/>
      <c r="R22" s="136"/>
      <c r="S22" s="134"/>
    </row>
    <row r="23" ht="15.75" spans="1:19">
      <c r="A23" s="7">
        <v>28</v>
      </c>
      <c r="B23" s="12"/>
      <c r="C23" s="160" t="s">
        <v>146</v>
      </c>
      <c r="D23" s="161" t="s">
        <v>147</v>
      </c>
      <c r="E23" s="161" t="s">
        <v>33</v>
      </c>
      <c r="F23" s="162" t="s">
        <v>148</v>
      </c>
      <c r="G23" s="163" t="s">
        <v>149</v>
      </c>
      <c r="H23" s="17" t="s">
        <v>150</v>
      </c>
      <c r="I23" s="164" t="s">
        <v>63</v>
      </c>
      <c r="J23" s="161" t="s">
        <v>151</v>
      </c>
      <c r="K23" s="14">
        <v>500</v>
      </c>
      <c r="L23" s="14">
        <v>1</v>
      </c>
      <c r="M23" s="20">
        <f>L23*400</f>
        <v>400</v>
      </c>
      <c r="N23" s="165" t="s">
        <v>49</v>
      </c>
      <c r="O23" s="72">
        <v>0.0028</v>
      </c>
      <c r="P23" s="73">
        <f>O23*K23</f>
        <v>1.4</v>
      </c>
      <c r="Q23" s="135"/>
      <c r="R23" s="136"/>
      <c r="S23" s="134"/>
    </row>
    <row r="24" ht="15.75" spans="1:19">
      <c r="A24" s="7">
        <v>29</v>
      </c>
      <c r="B24" s="22"/>
      <c r="C24" s="173" t="s">
        <v>152</v>
      </c>
      <c r="D24" s="178" t="s">
        <v>153</v>
      </c>
      <c r="E24" s="178" t="s">
        <v>118</v>
      </c>
      <c r="F24" s="181" t="s">
        <v>154</v>
      </c>
      <c r="G24" s="176" t="s">
        <v>86</v>
      </c>
      <c r="H24" s="27" t="s">
        <v>155</v>
      </c>
      <c r="I24" s="201" t="s">
        <v>63</v>
      </c>
      <c r="J24" s="178" t="s">
        <v>156</v>
      </c>
      <c r="K24" s="30">
        <v>3300</v>
      </c>
      <c r="L24" s="26">
        <v>8</v>
      </c>
      <c r="M24" s="24">
        <f>L24*400</f>
        <v>3200</v>
      </c>
      <c r="N24" s="108" t="s">
        <v>49</v>
      </c>
      <c r="O24" s="87">
        <v>0.0015</v>
      </c>
      <c r="P24" s="88">
        <f>O24*K24</f>
        <v>4.95</v>
      </c>
      <c r="Q24" s="141"/>
      <c r="R24" s="136"/>
      <c r="S24" s="134"/>
    </row>
    <row r="25" ht="15.75" spans="1:19">
      <c r="A25" s="7">
        <v>33</v>
      </c>
      <c r="B25" s="12" t="s">
        <v>157</v>
      </c>
      <c r="C25" s="202" t="s">
        <v>158</v>
      </c>
      <c r="D25" s="203" t="s">
        <v>159</v>
      </c>
      <c r="E25" s="203" t="s">
        <v>160</v>
      </c>
      <c r="F25" s="162" t="s">
        <v>161</v>
      </c>
      <c r="G25" s="204" t="s">
        <v>162</v>
      </c>
      <c r="H25" s="205" t="s">
        <v>63</v>
      </c>
      <c r="I25" s="206" t="s">
        <v>63</v>
      </c>
      <c r="J25" s="204" t="s">
        <v>96</v>
      </c>
      <c r="K25" s="48">
        <v>420</v>
      </c>
      <c r="L25" s="16">
        <v>1</v>
      </c>
      <c r="M25" s="20">
        <f>L25*400</f>
        <v>400</v>
      </c>
      <c r="N25" s="71" t="s">
        <v>163</v>
      </c>
      <c r="O25" s="72">
        <v>1</v>
      </c>
      <c r="P25" s="73">
        <f>O25*K25</f>
        <v>420</v>
      </c>
      <c r="Q25" s="135"/>
      <c r="R25" s="145">
        <v>2.8347</v>
      </c>
      <c r="S25" s="134"/>
    </row>
    <row r="26" spans="1:19">
      <c r="A26" s="7">
        <v>36</v>
      </c>
      <c r="B26" s="12"/>
      <c r="C26" s="160" t="s">
        <v>164</v>
      </c>
      <c r="D26" s="161" t="s">
        <v>165</v>
      </c>
      <c r="E26" s="161" t="s">
        <v>166</v>
      </c>
      <c r="F26" s="162" t="s">
        <v>167</v>
      </c>
      <c r="G26" s="163" t="s">
        <v>168</v>
      </c>
      <c r="H26" s="17" t="s">
        <v>169</v>
      </c>
      <c r="I26" s="164" t="s">
        <v>63</v>
      </c>
      <c r="J26" s="163" t="s">
        <v>96</v>
      </c>
      <c r="K26" s="16">
        <v>420</v>
      </c>
      <c r="L26" s="16">
        <v>1</v>
      </c>
      <c r="M26" s="20">
        <f t="shared" ref="M26:M34" si="0">L26*400</f>
        <v>400</v>
      </c>
      <c r="N26" s="165" t="s">
        <v>49</v>
      </c>
      <c r="O26" s="72">
        <v>0.1823</v>
      </c>
      <c r="P26" s="73">
        <f t="shared" ref="P26:P34" si="1">O26*K26</f>
        <v>76.566</v>
      </c>
      <c r="Q26" s="135"/>
      <c r="R26" s="136"/>
      <c r="S26" s="134"/>
    </row>
    <row r="27" ht="15.75" spans="1:19">
      <c r="A27" s="7">
        <v>37</v>
      </c>
      <c r="B27" s="22"/>
      <c r="C27" s="173" t="s">
        <v>170</v>
      </c>
      <c r="D27" s="178" t="s">
        <v>171</v>
      </c>
      <c r="E27" s="174" t="s">
        <v>172</v>
      </c>
      <c r="F27" s="181" t="s">
        <v>173</v>
      </c>
      <c r="G27" s="176" t="s">
        <v>174</v>
      </c>
      <c r="H27" s="27" t="s">
        <v>175</v>
      </c>
      <c r="I27" s="201" t="s">
        <v>63</v>
      </c>
      <c r="J27" s="26"/>
      <c r="K27" s="26">
        <v>420</v>
      </c>
      <c r="L27" s="89">
        <v>1</v>
      </c>
      <c r="M27" s="24">
        <f t="shared" si="0"/>
        <v>400</v>
      </c>
      <c r="N27" s="207" t="s">
        <v>49</v>
      </c>
      <c r="O27" s="111">
        <v>0.1155</v>
      </c>
      <c r="P27" s="112">
        <f t="shared" si="1"/>
        <v>48.51</v>
      </c>
      <c r="Q27" s="148"/>
      <c r="R27" s="136"/>
      <c r="S27" s="134"/>
    </row>
    <row r="28" spans="1:19">
      <c r="A28" s="7"/>
      <c r="B28" s="50" t="s">
        <v>176</v>
      </c>
      <c r="C28" s="156" t="s">
        <v>177</v>
      </c>
      <c r="D28" s="156" t="s">
        <v>178</v>
      </c>
      <c r="E28" s="191" t="s">
        <v>59</v>
      </c>
      <c r="F28" s="157" t="s">
        <v>179</v>
      </c>
      <c r="I28" s="158" t="s">
        <v>180</v>
      </c>
      <c r="J28" s="113"/>
      <c r="K28" s="113"/>
      <c r="L28" s="9">
        <v>1</v>
      </c>
      <c r="M28" s="114"/>
      <c r="N28" s="115"/>
      <c r="O28" s="116"/>
      <c r="P28" s="117"/>
      <c r="Q28" s="149"/>
      <c r="R28" s="150"/>
      <c r="S28" s="134"/>
    </row>
    <row r="29" ht="15.75" spans="1:19">
      <c r="A29" s="7"/>
      <c r="B29" s="50"/>
      <c r="C29" s="208" t="s">
        <v>181</v>
      </c>
      <c r="D29" s="156" t="s">
        <v>182</v>
      </c>
      <c r="E29" s="191" t="s">
        <v>59</v>
      </c>
      <c r="F29" s="157" t="s">
        <v>183</v>
      </c>
      <c r="I29" s="158" t="s">
        <v>184</v>
      </c>
      <c r="J29" s="113"/>
      <c r="K29" s="113"/>
      <c r="L29" s="9">
        <v>2</v>
      </c>
      <c r="M29" s="114"/>
      <c r="N29" s="115"/>
      <c r="O29" s="116"/>
      <c r="P29" s="117"/>
      <c r="Q29" s="149"/>
      <c r="R29" s="150"/>
      <c r="S29" s="134"/>
    </row>
    <row r="30" ht="15.75" spans="1:19">
      <c r="A30" s="7"/>
      <c r="B30" s="50"/>
      <c r="C30" s="156" t="s">
        <v>185</v>
      </c>
      <c r="D30" s="156" t="s">
        <v>186</v>
      </c>
      <c r="E30" s="191" t="s">
        <v>59</v>
      </c>
      <c r="F30" s="157" t="s">
        <v>187</v>
      </c>
      <c r="I30" s="158" t="s">
        <v>180</v>
      </c>
      <c r="J30" s="113"/>
      <c r="K30" s="113"/>
      <c r="L30" s="9">
        <v>1</v>
      </c>
      <c r="M30" s="114"/>
      <c r="N30" s="115"/>
      <c r="O30" s="116"/>
      <c r="P30" s="117"/>
      <c r="Q30" s="149"/>
      <c r="R30" s="150"/>
      <c r="S30" s="134"/>
    </row>
    <row r="31" ht="15.75" spans="1:19">
      <c r="A31" s="7"/>
      <c r="B31" s="50"/>
      <c r="C31" s="156" t="s">
        <v>188</v>
      </c>
      <c r="D31" s="156" t="s">
        <v>189</v>
      </c>
      <c r="E31" s="156" t="s">
        <v>190</v>
      </c>
      <c r="F31" s="157" t="s">
        <v>191</v>
      </c>
      <c r="I31" s="158" t="s">
        <v>192</v>
      </c>
      <c r="J31" s="113"/>
      <c r="K31" s="113"/>
      <c r="L31" s="9">
        <v>1</v>
      </c>
      <c r="M31" s="114"/>
      <c r="N31" s="115"/>
      <c r="O31" s="116"/>
      <c r="P31" s="117"/>
      <c r="Q31" s="149"/>
      <c r="R31" s="150"/>
      <c r="S31" s="134"/>
    </row>
    <row r="32" ht="15.75" spans="1:19">
      <c r="A32" s="7">
        <v>41</v>
      </c>
      <c r="B32" s="50"/>
      <c r="C32" s="209" t="s">
        <v>193</v>
      </c>
      <c r="D32" s="161" t="s">
        <v>194</v>
      </c>
      <c r="E32" s="161" t="s">
        <v>195</v>
      </c>
      <c r="F32" s="162" t="s">
        <v>196</v>
      </c>
      <c r="G32" s="161" t="s">
        <v>197</v>
      </c>
      <c r="H32" s="53" t="s">
        <v>198</v>
      </c>
      <c r="I32" s="164" t="s">
        <v>63</v>
      </c>
      <c r="J32" s="163" t="s">
        <v>96</v>
      </c>
      <c r="K32" s="16">
        <v>850</v>
      </c>
      <c r="L32" s="16">
        <v>2</v>
      </c>
      <c r="M32" s="20">
        <f>L32*400</f>
        <v>800</v>
      </c>
      <c r="N32" s="165" t="s">
        <v>49</v>
      </c>
      <c r="O32" s="72">
        <v>0.0706</v>
      </c>
      <c r="P32" s="73">
        <f>O32*K32</f>
        <v>60.01</v>
      </c>
      <c r="Q32" s="135"/>
      <c r="R32" s="136"/>
      <c r="S32" s="134"/>
    </row>
    <row r="33" spans="1:19">
      <c r="A33" s="7">
        <v>43</v>
      </c>
      <c r="B33" s="50"/>
      <c r="C33" s="210" t="s">
        <v>199</v>
      </c>
      <c r="D33" s="211" t="s">
        <v>200</v>
      </c>
      <c r="E33" s="211" t="s">
        <v>201</v>
      </c>
      <c r="F33" s="56" t="s">
        <v>201</v>
      </c>
      <c r="G33" s="56"/>
      <c r="H33" s="56"/>
      <c r="I33" s="56"/>
      <c r="J33" s="56"/>
      <c r="K33" s="56"/>
      <c r="L33" s="118">
        <v>7</v>
      </c>
      <c r="M33" s="20">
        <f>L33*400</f>
        <v>2800</v>
      </c>
      <c r="N33" s="56"/>
      <c r="O33" s="119"/>
      <c r="P33" s="119">
        <f>O33*K33</f>
        <v>0</v>
      </c>
      <c r="Q33" s="151" t="s">
        <v>202</v>
      </c>
      <c r="R33" s="136"/>
      <c r="S33" s="134"/>
    </row>
    <row r="34" spans="1:19">
      <c r="A34" s="7">
        <v>44</v>
      </c>
      <c r="B34" s="57"/>
      <c r="C34" s="212" t="s">
        <v>203</v>
      </c>
      <c r="D34" s="59" t="s">
        <v>204</v>
      </c>
      <c r="E34" s="213" t="s">
        <v>205</v>
      </c>
      <c r="F34" s="61" t="s">
        <v>205</v>
      </c>
      <c r="G34" s="61"/>
      <c r="H34" s="61"/>
      <c r="I34" s="61"/>
      <c r="J34" s="61"/>
      <c r="K34" s="61"/>
      <c r="L34" s="120">
        <v>5</v>
      </c>
      <c r="M34" s="121">
        <f>L34*400</f>
        <v>2000</v>
      </c>
      <c r="N34" s="122"/>
      <c r="O34" s="123"/>
      <c r="P34" s="123">
        <f>O34*K34</f>
        <v>0</v>
      </c>
      <c r="Q34" s="152" t="s">
        <v>202</v>
      </c>
      <c r="R34" s="153"/>
      <c r="S34" s="134"/>
    </row>
    <row r="35" ht="15.75" spans="1:19">
      <c r="A35"/>
      <c r="L35" s="124" t="s">
        <v>206</v>
      </c>
      <c r="M35" s="125"/>
      <c r="N35" s="125"/>
      <c r="O35" s="125"/>
      <c r="P35" s="126">
        <f>SUM(P3:P34)</f>
        <v>1002.8206</v>
      </c>
      <c r="R35" s="134"/>
      <c r="S35" s="134"/>
    </row>
    <row r="36" ht="15.75" spans="1:19">
      <c r="A36"/>
      <c r="L36" s="127" t="s">
        <v>207</v>
      </c>
      <c r="M36" s="128"/>
      <c r="N36" s="128"/>
      <c r="O36" s="128"/>
      <c r="P36" s="129">
        <f>P35/400</f>
        <v>2.5070515</v>
      </c>
      <c r="R36" s="134"/>
      <c r="S36" s="134"/>
    </row>
    <row r="37" spans="1:19">
      <c r="A37"/>
      <c r="R37" s="134"/>
      <c r="S37" s="134"/>
    </row>
    <row r="38" spans="1:19">
      <c r="A38"/>
      <c r="R38" s="134"/>
      <c r="S38" s="134"/>
    </row>
    <row r="39" spans="1:19">
      <c r="A39"/>
      <c r="R39" s="134"/>
      <c r="S39" s="134"/>
    </row>
    <row r="40" spans="1:19">
      <c r="A40"/>
      <c r="R40" s="134"/>
      <c r="S40" s="134"/>
    </row>
    <row r="41" spans="1:19">
      <c r="A41"/>
      <c r="R41" s="134"/>
      <c r="S41" s="134"/>
    </row>
    <row r="42" spans="1:19">
      <c r="A42"/>
      <c r="R42" s="134"/>
      <c r="S42" s="134"/>
    </row>
    <row r="43" spans="1:19">
      <c r="A43"/>
      <c r="E43" t="s">
        <v>208</v>
      </c>
      <c r="R43" s="134"/>
      <c r="S43" s="134"/>
    </row>
    <row r="44" ht="15.75" customHeight="1" spans="1:19">
      <c r="A44"/>
      <c r="R44" s="134"/>
      <c r="S44" s="134"/>
    </row>
    <row r="45" spans="1:19">
      <c r="A45"/>
      <c r="R45" s="134"/>
      <c r="S45" s="134"/>
    </row>
    <row r="46" spans="1:19">
      <c r="A46"/>
      <c r="R46" s="134"/>
      <c r="S46" s="134"/>
    </row>
    <row r="47" spans="1:19">
      <c r="A47"/>
      <c r="R47" s="134"/>
      <c r="S47" s="134"/>
    </row>
    <row r="48" spans="1:19">
      <c r="A48"/>
      <c r="R48" s="134"/>
      <c r="S48" s="134"/>
    </row>
    <row r="49" spans="1:19">
      <c r="A49"/>
      <c r="R49" s="134"/>
      <c r="S49" s="134"/>
    </row>
    <row r="50" spans="8:17">
      <c r="H50" s="62"/>
      <c r="Q50" s="154"/>
    </row>
    <row r="51" spans="8:17">
      <c r="H51" s="62"/>
      <c r="Q51" s="154"/>
    </row>
  </sheetData>
  <mergeCells count="8">
    <mergeCell ref="A1:R1"/>
    <mergeCell ref="L35:O35"/>
    <mergeCell ref="L36:O36"/>
    <mergeCell ref="B3:B13"/>
    <mergeCell ref="B14:B15"/>
    <mergeCell ref="B18:B24"/>
    <mergeCell ref="B25:B27"/>
    <mergeCell ref="B28:B34"/>
  </mergeCells>
  <conditionalFormatting sqref="Q12">
    <cfRule type="dataBar" priority="36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{6195a2f9-ce1f-4f5f-9c54-fdf92f4fac3f}</x14:id>
        </ext>
      </extLst>
    </cfRule>
  </conditionalFormatting>
  <conditionalFormatting sqref="Q16">
    <cfRule type="dataBar" priority="37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{48736073-3e04-418e-8e22-c2594c2cd6e9}</x14:id>
        </ext>
      </extLst>
    </cfRule>
  </conditionalFormatting>
  <conditionalFormatting sqref="N17">
    <cfRule type="dataBar" priority="3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{75e5aecd-3d73-4695-96d3-e5d65bf834c4}</x14:id>
        </ext>
      </extLst>
    </cfRule>
  </conditionalFormatting>
  <conditionalFormatting sqref="L33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33">
    <cfRule type="dataBar" priority="2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{24c6258d-510c-45a1-bab9-8ee7b4ef27c6}</x14:id>
        </ext>
      </extLst>
    </cfRule>
  </conditionalFormatting>
  <conditionalFormatting sqref="L34">
    <cfRule type="colorScale" priority="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34">
    <cfRule type="dataBar" priority="3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{feb97324-94a5-4886-b698-6019c8e7a478}</x14:id>
        </ext>
      </extLst>
    </cfRule>
  </conditionalFormatting>
  <conditionalFormatting sqref="P36">
    <cfRule type="dataBar" priority="1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{ce05567a-f689-4e00-a4c8-de96998f0735}</x14:id>
        </ext>
      </extLst>
    </cfRule>
  </conditionalFormatting>
  <conditionalFormatting sqref="L7:L11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3:N5">
    <cfRule type="dataBar" priority="3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{f9577316-2b6e-4080-ad53-0ec3f4fbf3a1}</x14:id>
        </ext>
      </extLst>
    </cfRule>
  </conditionalFormatting>
  <conditionalFormatting sqref="N24:N25">
    <cfRule type="dataBar" priority="3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{b94bc05c-f026-49a4-998d-5c3f1aa9e144}</x14:id>
        </ext>
      </extLst>
    </cfRule>
  </conditionalFormatting>
  <conditionalFormatting sqref="P3:P32">
    <cfRule type="dataBar" priority="4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{0ebc2f13-30a3-4888-ba74-33d7aff19312}</x14:id>
        </ext>
      </extLst>
    </cfRule>
  </conditionalFormatting>
  <conditionalFormatting sqref="Q28:Q31">
    <cfRule type="dataBar" priority="38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{7e2a5220-c721-44cb-9518-7fb326ae1b51}</x14:id>
        </ext>
      </extLst>
    </cfRule>
  </conditionalFormatting>
  <conditionalFormatting sqref="M3:M31 L12:L27 L32:M32">
    <cfRule type="colorScale" priority="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33:M34 L34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hyperlinks>
    <hyperlink ref="N9" r:id="rId1" display="LCSC"/>
    <hyperlink ref="N10" r:id="rId2" display="LCSC"/>
    <hyperlink ref="N11" r:id="rId3" display="LCSC"/>
    <hyperlink ref="N12" r:id="rId4" display="LCSC"/>
    <hyperlink ref="N13" r:id="rId5" display="LCSC"/>
    <hyperlink ref="N14" r:id="rId6" display="LCSC"/>
    <hyperlink ref="N15" r:id="rId7" display="LCSC"/>
    <hyperlink ref="N16" r:id="rId8" display="Utsource"/>
    <hyperlink ref="N18" r:id="rId9" display="LCSC"/>
    <hyperlink ref="N19" r:id="rId10" display="LCSC"/>
    <hyperlink ref="N20" r:id="rId11" display="LCSC"/>
    <hyperlink ref="N21" r:id="rId12" display="LCSC"/>
    <hyperlink ref="N23" r:id="rId13" display="LCSC"/>
    <hyperlink ref="N24" r:id="rId14" display="LCSC"/>
    <hyperlink ref="N26" r:id="rId15" display="LCSC"/>
    <hyperlink ref="N27" r:id="rId16" display="LCSC"/>
    <hyperlink ref="N32" r:id="rId17" display="LCSC"/>
    <hyperlink ref="N7" r:id="rId18" display="LCSC"/>
    <hyperlink ref="N8" r:id="rId19" display="LCSC"/>
    <hyperlink ref="N22" r:id="rId20" display="LCSC"/>
    <hyperlink ref="N25" r:id="rId21" display="Alibaba"/>
  </hyperlinks>
  <pageMargins left="0.7" right="0.7" top="0.75" bottom="0.75" header="0.3" footer="0.3"/>
  <pageSetup paperSize="1" orientation="portrait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6195a2f9-ce1f-4f5f-9c54-fdf92f4fac3f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Q12</xm:sqref>
        </x14:conditionalFormatting>
        <x14:conditionalFormatting xmlns:xm="http://schemas.microsoft.com/office/excel/2006/main">
          <x14:cfRule type="dataBar" id="{48736073-3e04-418e-8e22-c2594c2cd6e9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Q16</xm:sqref>
        </x14:conditionalFormatting>
        <x14:conditionalFormatting xmlns:xm="http://schemas.microsoft.com/office/excel/2006/main">
          <x14:cfRule type="dataBar" id="{75e5aecd-3d73-4695-96d3-e5d65bf834c4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N17</xm:sqref>
        </x14:conditionalFormatting>
        <x14:conditionalFormatting xmlns:xm="http://schemas.microsoft.com/office/excel/2006/main">
          <x14:cfRule type="dataBar" id="{24c6258d-510c-45a1-bab9-8ee7b4ef27c6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Q33</xm:sqref>
        </x14:conditionalFormatting>
        <x14:conditionalFormatting xmlns:xm="http://schemas.microsoft.com/office/excel/2006/main">
          <x14:cfRule type="dataBar" id="{feb97324-94a5-4886-b698-6019c8e7a478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Q34</xm:sqref>
        </x14:conditionalFormatting>
        <x14:conditionalFormatting xmlns:xm="http://schemas.microsoft.com/office/excel/2006/main">
          <x14:cfRule type="dataBar" id="{ce05567a-f689-4e00-a4c8-de96998f0735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P36</xm:sqref>
        </x14:conditionalFormatting>
        <x14:conditionalFormatting xmlns:xm="http://schemas.microsoft.com/office/excel/2006/main">
          <x14:cfRule type="dataBar" id="{f9577316-2b6e-4080-ad53-0ec3f4fbf3a1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N3:N5</xm:sqref>
        </x14:conditionalFormatting>
        <x14:conditionalFormatting xmlns:xm="http://schemas.microsoft.com/office/excel/2006/main">
          <x14:cfRule type="dataBar" id="{b94bc05c-f026-49a4-998d-5c3f1aa9e144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N24:N25</xm:sqref>
        </x14:conditionalFormatting>
        <x14:conditionalFormatting xmlns:xm="http://schemas.microsoft.com/office/excel/2006/main">
          <x14:cfRule type="dataBar" id="{0ebc2f13-30a3-4888-ba74-33d7aff19312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P3:P32</xm:sqref>
        </x14:conditionalFormatting>
        <x14:conditionalFormatting xmlns:xm="http://schemas.microsoft.com/office/excel/2006/main">
          <x14:cfRule type="dataBar" id="{7e2a5220-c721-44cb-9518-7fb326ae1b51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Q28:Q31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SIDRA</dc:creator>
  <cp:lastModifiedBy>texon</cp:lastModifiedBy>
  <dcterms:created xsi:type="dcterms:W3CDTF">2021-06-08T13:45:00Z</dcterms:created>
  <dcterms:modified xsi:type="dcterms:W3CDTF">2021-10-16T15:03:21Z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6C426FAB849F49D4ADFC871332999A05</vt:lpwstr>
  </property>
  <property fmtid="{D5CDD505-2E9C-101B-9397-08002B2CF9AE}" pid="3" name="KSOProductBuildVer">
    <vt:lpwstr>1033-11.2.0.10323</vt:lpwstr>
  </property>
</Properties>
</file>