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D:\eSpark\ChrisitanRaun-AnnanasMotor\Deliverables\BOM\"/>
    </mc:Choice>
  </mc:AlternateContent>
  <xr:revisionPtr revIDLastSave="0" documentId="13_ncr:1_{3AE9F3A8-45C5-493B-8453-63A044D0CDA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48" i="1" l="1"/>
  <c r="P41" i="1"/>
  <c r="P33" i="1"/>
  <c r="P31" i="1"/>
  <c r="M33" i="1"/>
  <c r="M4" i="1" l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3" i="1"/>
  <c r="P4" i="1" l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2" i="1"/>
  <c r="P34" i="1"/>
  <c r="P35" i="1"/>
  <c r="P36" i="1"/>
  <c r="P37" i="1"/>
  <c r="P38" i="1"/>
  <c r="P39" i="1"/>
  <c r="P40" i="1"/>
  <c r="P42" i="1"/>
  <c r="P43" i="1"/>
  <c r="P44" i="1"/>
  <c r="P45" i="1"/>
  <c r="P46" i="1"/>
  <c r="P3" i="1"/>
  <c r="P47" i="1" s="1"/>
</calcChain>
</file>

<file path=xl/sharedStrings.xml><?xml version="1.0" encoding="utf-8"?>
<sst xmlns="http://schemas.openxmlformats.org/spreadsheetml/2006/main" count="402" uniqueCount="282">
  <si>
    <t>S. No.</t>
  </si>
  <si>
    <t>Components</t>
  </si>
  <si>
    <t>Description</t>
  </si>
  <si>
    <t>Designator</t>
  </si>
  <si>
    <t>Footprint (Package)</t>
  </si>
  <si>
    <t>Manufacturer Part Number</t>
  </si>
  <si>
    <t>Manufacturer</t>
  </si>
  <si>
    <t xml:space="preserve">LCSC Part No </t>
  </si>
  <si>
    <t>Alternate</t>
  </si>
  <si>
    <t>Value</t>
  </si>
  <si>
    <t>LCSC/MOQ</t>
  </si>
  <si>
    <t>Quantity (Per Board)</t>
  </si>
  <si>
    <t>Unit Cost(1)</t>
  </si>
  <si>
    <t>Remarks</t>
  </si>
  <si>
    <t>Capacitor</t>
  </si>
  <si>
    <t>0.1uF</t>
  </si>
  <si>
    <t>LCSC</t>
  </si>
  <si>
    <t>Cap1206</t>
  </si>
  <si>
    <t>4.7uF</t>
  </si>
  <si>
    <t>1uF</t>
  </si>
  <si>
    <t>22uF</t>
  </si>
  <si>
    <t>Cap0805</t>
  </si>
  <si>
    <t>10uF</t>
  </si>
  <si>
    <t>Custom</t>
  </si>
  <si>
    <t>Diode</t>
  </si>
  <si>
    <t>LED 0402</t>
  </si>
  <si>
    <t>Mosfet</t>
  </si>
  <si>
    <t>Resistor</t>
  </si>
  <si>
    <t>10K</t>
  </si>
  <si>
    <t>Res0603</t>
  </si>
  <si>
    <t>Ics</t>
  </si>
  <si>
    <t>U1</t>
  </si>
  <si>
    <t>U2</t>
  </si>
  <si>
    <t>U3</t>
  </si>
  <si>
    <t>U4</t>
  </si>
  <si>
    <t>U8</t>
  </si>
  <si>
    <t>U7</t>
  </si>
  <si>
    <t>Connector</t>
  </si>
  <si>
    <t>CONN HEADER VERT 2POS 2.54MM</t>
  </si>
  <si>
    <t>TE Connectivity</t>
  </si>
  <si>
    <t>Test Point ON</t>
  </si>
  <si>
    <t>TEST POINT</t>
  </si>
  <si>
    <t>DO NOT Mount</t>
  </si>
  <si>
    <t>Solder Bridge ON</t>
  </si>
  <si>
    <t>Solder Bridge</t>
  </si>
  <si>
    <t xml:space="preserve">Total Component Cost </t>
  </si>
  <si>
    <t>Single Board Cost</t>
  </si>
  <si>
    <t>Link</t>
  </si>
  <si>
    <t>MOQ Total</t>
  </si>
  <si>
    <t xml:space="preserve">Bill of Material (BOM) for Refrence Formate </t>
  </si>
  <si>
    <t>CAP CER 1UF 100V X7S 0805</t>
  </si>
  <si>
    <t>C1, C3, C5, C26, C45</t>
  </si>
  <si>
    <t>GCM21BC72A105KE36L</t>
  </si>
  <si>
    <t xml:space="preserve">Murata </t>
  </si>
  <si>
    <t>CAP CER 0.1UF 100V X7R 0603</t>
  </si>
  <si>
    <t>C2, C4, C6, C7, C8, C9, C10, C11, C12, C13, C14, C15, C16, C20, C21, C22, C23, C24, C25, C30, C31, C34, C35, C37, C40, C41</t>
  </si>
  <si>
    <t>Cap0603</t>
  </si>
  <si>
    <t>CC0603KRX7R0BB104</t>
  </si>
  <si>
    <t>YAGEO</t>
  </si>
  <si>
    <t>CAP CER 10UF 50V X5R 0805</t>
  </si>
  <si>
    <t>C17</t>
  </si>
  <si>
    <t>GRM21BR61H106ME43L</t>
  </si>
  <si>
    <t>CAP CER 4.7UF 25V X5R 0603</t>
  </si>
  <si>
    <t>C18, C19, C29, C39</t>
  </si>
  <si>
    <t>C1608X5R1E475M080AC</t>
  </si>
  <si>
    <t xml:space="preserve">TDK </t>
  </si>
  <si>
    <t>CAP CER 10PF 50V C0G/NP0 0603</t>
  </si>
  <si>
    <t>C27, C28, C32, C33, C48, C49, C50, C51, C52, C53, C54, C55</t>
  </si>
  <si>
    <t>06035A100JAT2A</t>
  </si>
  <si>
    <t xml:space="preserve">KYOCERA AVX
</t>
  </si>
  <si>
    <t>CAP CER 0.022UF 100V X7R 0603</t>
  </si>
  <si>
    <t>C36, C56, C57</t>
  </si>
  <si>
    <t>CGA3E2X7R2A223K080AA</t>
  </si>
  <si>
    <t>CAP CER 2.2UF 50V X5R 0603</t>
  </si>
  <si>
    <t>C38</t>
  </si>
  <si>
    <t>UMK107BBJ225MA-T</t>
  </si>
  <si>
    <t xml:space="preserve">Taiyo Yuden
</t>
  </si>
  <si>
    <t>25V 5mm 10mm 100uF 100kHz SMD,5x10mm Aluminum Electrolytic Cap- SMD ROHS</t>
  </si>
  <si>
    <t>C43</t>
  </si>
  <si>
    <t>VKMB1001E101MV</t>
  </si>
  <si>
    <t>63V 10mm 8mm 100uF ±20% ,8x10mm Aluminum Electrolytic Cap</t>
  </si>
  <si>
    <t>C44, C79</t>
  </si>
  <si>
    <t>VKMD1001J101MV</t>
  </si>
  <si>
    <t>CAP ALUM 10uF 25V SMD</t>
  </si>
  <si>
    <t>C46</t>
  </si>
  <si>
    <t>RVT1E100M0405</t>
  </si>
  <si>
    <t>C47</t>
  </si>
  <si>
    <t>Cap Case-A</t>
  </si>
  <si>
    <t>CA45A-A-10V-22uF-K</t>
  </si>
  <si>
    <t xml:space="preserve">CAP CER 1000PF 2KV X7R 1206
</t>
  </si>
  <si>
    <t>C58</t>
  </si>
  <si>
    <t>CC1206KKX7RDBB102</t>
  </si>
  <si>
    <t>36V 40V Unidirectional 75V 5A SOD-323 TVS ROHS</t>
  </si>
  <si>
    <t>D1</t>
  </si>
  <si>
    <t>SOD-323</t>
  </si>
  <si>
    <t>SD36</t>
  </si>
  <si>
    <t xml:space="preserve">DIODE SCHOTTKY 30V 3A CFP5
</t>
  </si>
  <si>
    <t>D2</t>
  </si>
  <si>
    <t xml:space="preserve">SOD-128
</t>
  </si>
  <si>
    <t>PMEG3030EP,115</t>
  </si>
  <si>
    <t xml:space="preserve">Nexperia </t>
  </si>
  <si>
    <t>SOD-523 Schottky Barrier Diodes (SBD) ROHS</t>
  </si>
  <si>
    <t>D3</t>
  </si>
  <si>
    <t>MSK4010</t>
  </si>
  <si>
    <t>MOSFET N-CH 20V 4.2A SOT23</t>
  </si>
  <si>
    <t>Q1</t>
  </si>
  <si>
    <t>SOT-23</t>
  </si>
  <si>
    <t>IRLML2502TRPBF</t>
  </si>
  <si>
    <t xml:space="preserve"> INFINEON</t>
  </si>
  <si>
    <t>Green 520~535nm 0402 Light Emitting Diodes (LED) RoHS</t>
  </si>
  <si>
    <t>LED1, LED2</t>
  </si>
  <si>
    <t>16-213/GHC-YR1S1/3T</t>
  </si>
  <si>
    <t>200Ω @ 100MHz 1 1A 300mΩ 0603 Ferrite Beads</t>
  </si>
  <si>
    <t>L1, L2, L3, L4, L5</t>
  </si>
  <si>
    <t>Ind 0603</t>
  </si>
  <si>
    <t>MLB1608-201P1A(f)</t>
  </si>
  <si>
    <t>IND SMD 10uH 500mA 0805</t>
  </si>
  <si>
    <t>L6</t>
  </si>
  <si>
    <t>Ind0805</t>
  </si>
  <si>
    <t>MGFL2012F100MT-LF</t>
  </si>
  <si>
    <t>FIXED IND 33UH 2.5A 189.2MOHM SM</t>
  </si>
  <si>
    <t>L10</t>
  </si>
  <si>
    <t>ETQ-P4M330YFN</t>
  </si>
  <si>
    <t xml:space="preserve">Panasonic </t>
  </si>
  <si>
    <t>RES SMD 10K OHM 5% 1/10W 0603</t>
  </si>
  <si>
    <t>R1, R2, R3, R4, R5, R9, R14, R15, R16, R18, R23, R24, R25, R41, R42</t>
  </si>
  <si>
    <t>AC0603JR-0710KL</t>
  </si>
  <si>
    <t>RES SMD 0603 33 Ohm 1% 1/10W</t>
  </si>
  <si>
    <t>R6, R11, R12</t>
  </si>
  <si>
    <t>RC0603FR-0733RL</t>
  </si>
  <si>
    <t>RES  SMD 330R 100 mW 0603</t>
  </si>
  <si>
    <t>R7, R36, R39</t>
  </si>
  <si>
    <t>RC0603JR-07330RL</t>
  </si>
  <si>
    <t>RES SMD 1K OHM 1% 1/10W 0603</t>
  </si>
  <si>
    <t>R8, R10, R21, R22, R29, R40</t>
  </si>
  <si>
    <t>RC0603FR-071KL</t>
  </si>
  <si>
    <t>RES SMD 12.1K OHM 1/10W 0603</t>
  </si>
  <si>
    <t>R13</t>
  </si>
  <si>
    <t>RT0603CRD0712K1L</t>
  </si>
  <si>
    <t xml:space="preserve">Stackpole </t>
  </si>
  <si>
    <t>RES SMD ±5% ±200ppm/℃ 0.18Ω 1W 2512</t>
  </si>
  <si>
    <t>R19, R20</t>
  </si>
  <si>
    <t>RES 2512</t>
  </si>
  <si>
    <t>RTT25R18JTE</t>
  </si>
  <si>
    <t>RES 0.075 OHM 1% 2W 2512</t>
  </si>
  <si>
    <t>R27</t>
  </si>
  <si>
    <t>CSRN2512FK75L0</t>
  </si>
  <si>
    <t>RES SMD 9kΩ ±100ppm/℃ 0.125W 0805</t>
  </si>
  <si>
    <t>R28</t>
  </si>
  <si>
    <t>0805W8F9001T5E</t>
  </si>
  <si>
    <t>R30, R31, R32, R33, R34, R35, R37, R38</t>
  </si>
  <si>
    <t>RC0603FR-0749K9L</t>
  </si>
  <si>
    <t>SWITCH TACTILE SPST-NO 0.05A 12V</t>
  </si>
  <si>
    <t>SW1</t>
  </si>
  <si>
    <t>B3U-1000P</t>
  </si>
  <si>
    <t>IC ETHERCAT SLAVE CONTROLLER</t>
  </si>
  <si>
    <t>LAN9255/ZMX019</t>
  </si>
  <si>
    <t>IC EEPROM 256KBIT I2C 1MHZ 8SOIC</t>
  </si>
  <si>
    <t>8-SOIC</t>
  </si>
  <si>
    <t>CAT24C256WI-GT3</t>
  </si>
  <si>
    <t>onsemi</t>
  </si>
  <si>
    <t>32-QFN (5x5)</t>
  </si>
  <si>
    <t>TMC2202-WA-T</t>
  </si>
  <si>
    <t xml:space="preserve">Trinamic </t>
  </si>
  <si>
    <t>MAGNETIC ANGLE SENSOR</t>
  </si>
  <si>
    <t>TLE5012BE5000FUMA1</t>
  </si>
  <si>
    <t xml:space="preserve">Infineon </t>
  </si>
  <si>
    <t>IC TRANSLATION TXRX 5.5V 24TSSOP</t>
  </si>
  <si>
    <t>U5</t>
  </si>
  <si>
    <t xml:space="preserve">24-TSSOP
</t>
  </si>
  <si>
    <t>SN74LVCH8T245PWR</t>
  </si>
  <si>
    <t xml:space="preserve">Texas </t>
  </si>
  <si>
    <t>2A 40V SOIC-8_EP_150mil DC-DC Converters ROHS</t>
  </si>
  <si>
    <t>XL4001E1</t>
  </si>
  <si>
    <t>AZ1117CH-3.3TRG1</t>
  </si>
  <si>
    <t>CRYSTAL 25.0000MHZ 8PF SMD</t>
  </si>
  <si>
    <t>X1</t>
  </si>
  <si>
    <t>C3E-25.000-8-1015-X-M</t>
  </si>
  <si>
    <t>Crystal 32.768KHZ 6.0PF SMD</t>
  </si>
  <si>
    <t>X2</t>
  </si>
  <si>
    <t>CM8V-T1A-32.768KHZ-6PF-20PPM-TA-QC</t>
  </si>
  <si>
    <t>CONN HEADER VERT 10POS 2.54MM</t>
  </si>
  <si>
    <t>P2</t>
  </si>
  <si>
    <t>HDR2X5</t>
  </si>
  <si>
    <t>67997-410HLF</t>
  </si>
  <si>
    <t xml:space="preserve">Amphenol </t>
  </si>
  <si>
    <t>P12, P15</t>
  </si>
  <si>
    <t>HDR1X2</t>
  </si>
  <si>
    <t>826629-2</t>
  </si>
  <si>
    <t>2.54mm Straight 1 Header TH ,P=2.54mm Pin Headers ROHS</t>
  </si>
  <si>
    <t>P13</t>
  </si>
  <si>
    <t>HDR1X5</t>
  </si>
  <si>
    <t>MTP125-1105S1</t>
  </si>
  <si>
    <t>SB1, SB2, SB3, SB4, SB5, SB6, SB7</t>
  </si>
  <si>
    <t>P1, P3, P4, P5, P6, P7</t>
  </si>
  <si>
    <t>10pF</t>
  </si>
  <si>
    <t>22nF</t>
  </si>
  <si>
    <t>2.2uF</t>
  </si>
  <si>
    <t>100uF</t>
  </si>
  <si>
    <t>1000pF</t>
  </si>
  <si>
    <t>-----</t>
  </si>
  <si>
    <t>33R</t>
  </si>
  <si>
    <t>330R</t>
  </si>
  <si>
    <t>1K</t>
  </si>
  <si>
    <t>12.1K</t>
  </si>
  <si>
    <t>180m</t>
  </si>
  <si>
    <t>75m</t>
  </si>
  <si>
    <t>9K</t>
  </si>
  <si>
    <t>49K9</t>
  </si>
  <si>
    <t>Quantity 400</t>
  </si>
  <si>
    <t>LED</t>
  </si>
  <si>
    <t xml:space="preserve">Inductor </t>
  </si>
  <si>
    <t>Switch</t>
  </si>
  <si>
    <t>Crystal</t>
  </si>
  <si>
    <t>C2842838</t>
  </si>
  <si>
    <t xml:space="preserve">C113803
</t>
  </si>
  <si>
    <t>------------</t>
  </si>
  <si>
    <t>GRM21BR61H106KE43L</t>
  </si>
  <si>
    <t>C440198</t>
  </si>
  <si>
    <t xml:space="preserve">Ymin </t>
  </si>
  <si>
    <t>C487322</t>
  </si>
  <si>
    <t>C487384</t>
  </si>
  <si>
    <t>C3343</t>
  </si>
  <si>
    <t>Honor Elec</t>
  </si>
  <si>
    <t>CEC</t>
  </si>
  <si>
    <t>C141745</t>
  </si>
  <si>
    <t>C23631</t>
  </si>
  <si>
    <t>MDD</t>
  </si>
  <si>
    <t>C502531</t>
  </si>
  <si>
    <t>C255587</t>
  </si>
  <si>
    <t>Tak Cheong</t>
  </si>
  <si>
    <t>C968723</t>
  </si>
  <si>
    <t>Utsource</t>
  </si>
  <si>
    <t>C74338</t>
  </si>
  <si>
    <t xml:space="preserve">Meled </t>
  </si>
  <si>
    <t>C45316</t>
  </si>
  <si>
    <t>Everlight Elec</t>
  </si>
  <si>
    <t>microgate</t>
  </si>
  <si>
    <t>C281113</t>
  </si>
  <si>
    <t>C140867</t>
  </si>
  <si>
    <t>C108661</t>
  </si>
  <si>
    <t>C105879</t>
  </si>
  <si>
    <t>C22548</t>
  </si>
  <si>
    <t>C705893</t>
  </si>
  <si>
    <t xml:space="preserve">
RALEC</t>
  </si>
  <si>
    <t>C159165</t>
  </si>
  <si>
    <t>C247026</t>
  </si>
  <si>
    <t>UNI-ROYAL</t>
  </si>
  <si>
    <t>C114624</t>
  </si>
  <si>
    <t>Omron</t>
  </si>
  <si>
    <t>C79987</t>
  </si>
  <si>
    <t xml:space="preserve">C201741
</t>
  </si>
  <si>
    <t xml:space="preserve">XLSEMI </t>
  </si>
  <si>
    <t>C73347</t>
  </si>
  <si>
    <t xml:space="preserve">SOT-223-3
</t>
  </si>
  <si>
    <t xml:space="preserve">IC REG LINEAR 3.3V 1A SOT223
</t>
  </si>
  <si>
    <t xml:space="preserve">Diodes </t>
  </si>
  <si>
    <t>C92102</t>
  </si>
  <si>
    <t>C86471</t>
  </si>
  <si>
    <t xml:space="preserve">MINTRON </t>
  </si>
  <si>
    <t>C358687</t>
  </si>
  <si>
    <t>C1608X5R1E475KT000E</t>
  </si>
  <si>
    <t>C76615</t>
  </si>
  <si>
    <t xml:space="preserve">C106245
</t>
  </si>
  <si>
    <t>CC0603JRNPO9BN100</t>
  </si>
  <si>
    <t>C21122</t>
  </si>
  <si>
    <t xml:space="preserve">CL10B223KB8NNNC
</t>
  </si>
  <si>
    <t>C268016</t>
  </si>
  <si>
    <t xml:space="preserve">UMK107BBJ225KA-T
</t>
  </si>
  <si>
    <t xml:space="preserve">RL2512FK-070R075L
</t>
  </si>
  <si>
    <t>C705611</t>
  </si>
  <si>
    <t xml:space="preserve">IC MTR DRV BIPOLAR 5.5-36V 32QFN
</t>
  </si>
  <si>
    <t>Alibaba</t>
  </si>
  <si>
    <t xml:space="preserve">RES 49.9K OHM 1% 1/10W 0603
</t>
  </si>
  <si>
    <t>C225520</t>
  </si>
  <si>
    <t xml:space="preserve">A2541WV-2x5P
</t>
  </si>
  <si>
    <t>SOD-523</t>
  </si>
  <si>
    <t xml:space="preserve">10V 22uF ±10% CASE-A_3216 Tantalum Capacitors ROHS
</t>
  </si>
  <si>
    <t>Quotation of orignal parts from Chinese supplier</t>
  </si>
  <si>
    <t>out of stock</t>
  </si>
  <si>
    <t>Custom supplier</t>
  </si>
  <si>
    <t>Cstom Supplier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</si>
</sst>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.0000"/>
    <numFmt numFmtId="165" formatCode="&quot;$&quot;#,##0.00"/>
    <numFmt numFmtId="166" formatCode="_-[$$-409]* #,##0.00_ ;_-[$$-409]* \-#,##0.00\ ;_-[$$-409]* &quot;-&quot;??_ ;_-@_ "/>
    <numFmt numFmtId="167" formatCode="&quot;$&quot;#,##0.00000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theme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trike/>
      <sz val="10"/>
      <color rgb="FFFF0000"/>
      <name val="Calibri"/>
      <family val="2"/>
      <scheme val="minor"/>
    </font>
    <font>
      <strike/>
      <sz val="10"/>
      <color rgb="FFFF0000"/>
      <name val="Calibri"/>
      <family val="2"/>
      <scheme val="minor"/>
    </font>
    <font>
      <sz val="12"/>
      <color theme="0"/>
      <name val="Calibri"/>
      <family val="2"/>
      <scheme val="minor"/>
    </font>
    <font>
      <sz val="10"/>
      <color rgb="FF333333"/>
      <name val="Calibri"/>
      <family val="2"/>
      <scheme val="minor"/>
    </font>
    <font>
      <b/>
      <sz val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86">
    <xf numFmtId="0" fontId="0" fillId="0" borderId="0" xfId="0"/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64" fontId="5" fillId="0" borderId="2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0" fillId="0" borderId="0" xfId="0" applyFont="1"/>
    <xf numFmtId="0" fontId="4" fillId="0" borderId="6" xfId="0" quotePrefix="1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164" fontId="5" fillId="0" borderId="6" xfId="0" applyNumberFormat="1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4" fillId="3" borderId="6" xfId="0" quotePrefix="1" applyFont="1" applyFill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8" fillId="4" borderId="7" xfId="0" applyFont="1" applyFill="1" applyBorder="1" applyAlignment="1">
      <alignment horizontal="center" vertical="center"/>
    </xf>
    <xf numFmtId="0" fontId="4" fillId="3" borderId="10" xfId="0" quotePrefix="1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164" fontId="5" fillId="0" borderId="10" xfId="0" applyNumberFormat="1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5" fillId="0" borderId="5" xfId="0" quotePrefix="1" applyFont="1" applyBorder="1" applyAlignment="1">
      <alignment vertical="center"/>
    </xf>
    <xf numFmtId="0" fontId="5" fillId="0" borderId="6" xfId="0" quotePrefix="1" applyFont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/>
    </xf>
    <xf numFmtId="0" fontId="5" fillId="0" borderId="5" xfId="0" quotePrefix="1" applyFont="1" applyBorder="1" applyAlignment="1">
      <alignment vertical="center" wrapText="1"/>
    </xf>
    <xf numFmtId="0" fontId="8" fillId="3" borderId="7" xfId="0" applyFont="1" applyFill="1" applyBorder="1" applyAlignment="1">
      <alignment horizontal="center" vertical="center"/>
    </xf>
    <xf numFmtId="0" fontId="10" fillId="4" borderId="5" xfId="0" quotePrefix="1" applyFont="1" applyFill="1" applyBorder="1" applyAlignment="1">
      <alignment horizontal="left" vertical="center" wrapText="1"/>
    </xf>
    <xf numFmtId="0" fontId="10" fillId="4" borderId="6" xfId="0" quotePrefix="1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/>
    </xf>
    <xf numFmtId="0" fontId="10" fillId="4" borderId="6" xfId="0" quotePrefix="1" applyFont="1" applyFill="1" applyBorder="1" applyAlignment="1">
      <alignment horizontal="center" vertical="center"/>
    </xf>
    <xf numFmtId="0" fontId="10" fillId="0" borderId="6" xfId="0" applyFont="1" applyBorder="1" applyAlignment="1">
      <alignment horizontal="center" vertical="center" wrapText="1"/>
    </xf>
    <xf numFmtId="164" fontId="10" fillId="4" borderId="6" xfId="0" quotePrefix="1" applyNumberFormat="1" applyFont="1" applyFill="1" applyBorder="1" applyAlignment="1">
      <alignment horizontal="center" vertical="center"/>
    </xf>
    <xf numFmtId="166" fontId="9" fillId="4" borderId="7" xfId="0" applyNumberFormat="1" applyFont="1" applyFill="1" applyBorder="1" applyAlignment="1">
      <alignment horizontal="center" vertical="center"/>
    </xf>
    <xf numFmtId="0" fontId="10" fillId="4" borderId="9" xfId="0" quotePrefix="1" applyFont="1" applyFill="1" applyBorder="1" applyAlignment="1">
      <alignment horizontal="left" vertical="center" wrapText="1"/>
    </xf>
    <xf numFmtId="0" fontId="10" fillId="4" borderId="10" xfId="0" quotePrefix="1" applyFont="1" applyFill="1" applyBorder="1" applyAlignment="1">
      <alignment horizontal="center" vertical="center" wrapText="1"/>
    </xf>
    <xf numFmtId="0" fontId="10" fillId="4" borderId="12" xfId="0" quotePrefix="1" applyFont="1" applyFill="1" applyBorder="1" applyAlignment="1">
      <alignment horizontal="center" vertical="center"/>
    </xf>
    <xf numFmtId="0" fontId="10" fillId="0" borderId="12" xfId="0" applyFont="1" applyBorder="1" applyAlignment="1">
      <alignment horizontal="center" vertical="center" wrapText="1"/>
    </xf>
    <xf numFmtId="166" fontId="9" fillId="4" borderId="14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2" borderId="15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5" fillId="0" borderId="0" xfId="0" applyFont="1"/>
    <xf numFmtId="0" fontId="4" fillId="4" borderId="10" xfId="0" applyFont="1" applyFill="1" applyBorder="1" applyAlignment="1">
      <alignment horizontal="center" vertical="center"/>
    </xf>
    <xf numFmtId="0" fontId="10" fillId="4" borderId="17" xfId="0" quotePrefix="1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164" fontId="4" fillId="0" borderId="2" xfId="0" applyNumberFormat="1" applyFont="1" applyBorder="1" applyAlignment="1">
      <alignment horizontal="center" vertical="center"/>
    </xf>
    <xf numFmtId="164" fontId="4" fillId="0" borderId="6" xfId="0" applyNumberFormat="1" applyFont="1" applyBorder="1" applyAlignment="1">
      <alignment horizontal="center" vertical="center"/>
    </xf>
    <xf numFmtId="164" fontId="12" fillId="0" borderId="6" xfId="0" applyNumberFormat="1" applyFont="1" applyBorder="1" applyAlignment="1">
      <alignment horizontal="center" vertical="center"/>
    </xf>
    <xf numFmtId="164" fontId="5" fillId="4" borderId="6" xfId="0" applyNumberFormat="1" applyFont="1" applyFill="1" applyBorder="1" applyAlignment="1">
      <alignment horizontal="center" vertical="center"/>
    </xf>
    <xf numFmtId="164" fontId="4" fillId="0" borderId="10" xfId="0" applyNumberFormat="1" applyFont="1" applyBorder="1" applyAlignment="1">
      <alignment horizontal="center" vertical="center"/>
    </xf>
    <xf numFmtId="164" fontId="4" fillId="0" borderId="6" xfId="0" applyNumberFormat="1" applyFont="1" applyFill="1" applyBorder="1" applyAlignment="1">
      <alignment horizontal="center" vertical="center"/>
    </xf>
    <xf numFmtId="164" fontId="5" fillId="0" borderId="6" xfId="0" applyNumberFormat="1" applyFont="1" applyFill="1" applyBorder="1" applyAlignment="1">
      <alignment horizontal="center" vertical="center"/>
    </xf>
    <xf numFmtId="167" fontId="5" fillId="0" borderId="6" xfId="0" applyNumberFormat="1" applyFont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 wrapText="1"/>
    </xf>
    <xf numFmtId="0" fontId="8" fillId="0" borderId="7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5" fillId="3" borderId="6" xfId="0" quotePrefix="1" applyFont="1" applyFill="1" applyBorder="1" applyAlignment="1">
      <alignment horizontal="center" vertical="center"/>
    </xf>
    <xf numFmtId="164" fontId="4" fillId="3" borderId="6" xfId="0" applyNumberFormat="1" applyFont="1" applyFill="1" applyBorder="1" applyAlignment="1">
      <alignment horizontal="center" vertical="center"/>
    </xf>
    <xf numFmtId="164" fontId="5" fillId="3" borderId="6" xfId="0" applyNumberFormat="1" applyFont="1" applyFill="1" applyBorder="1" applyAlignment="1">
      <alignment horizontal="center" vertical="center"/>
    </xf>
    <xf numFmtId="164" fontId="4" fillId="3" borderId="10" xfId="0" applyNumberFormat="1" applyFont="1" applyFill="1" applyBorder="1" applyAlignment="1">
      <alignment horizontal="center" vertical="center"/>
    </xf>
    <xf numFmtId="164" fontId="5" fillId="3" borderId="10" xfId="0" applyNumberFormat="1" applyFont="1" applyFill="1" applyBorder="1" applyAlignment="1">
      <alignment horizontal="center" vertical="center"/>
    </xf>
    <xf numFmtId="0" fontId="8" fillId="3" borderId="1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 wrapText="1"/>
    </xf>
    <xf numFmtId="0" fontId="4" fillId="0" borderId="6" xfId="0" quotePrefix="1" applyFont="1" applyBorder="1" applyAlignment="1">
      <alignment horizontal="center" vertical="center" wrapText="1"/>
    </xf>
    <xf numFmtId="0" fontId="5" fillId="0" borderId="6" xfId="0" quotePrefix="1" applyFont="1" applyBorder="1" applyAlignment="1">
      <alignment vertical="center" wrapText="1"/>
    </xf>
    <xf numFmtId="164" fontId="6" fillId="0" borderId="2" xfId="1" applyNumberFormat="1" applyBorder="1" applyAlignment="1">
      <alignment horizontal="center" vertical="center"/>
    </xf>
    <xf numFmtId="0" fontId="4" fillId="3" borderId="2" xfId="0" quotePrefix="1" applyFont="1" applyFill="1" applyBorder="1" applyAlignment="1">
      <alignment horizontal="center" vertical="center" wrapText="1"/>
    </xf>
    <xf numFmtId="164" fontId="6" fillId="0" borderId="6" xfId="1" applyNumberFormat="1" applyBorder="1" applyAlignment="1">
      <alignment horizontal="center" vertical="center"/>
    </xf>
    <xf numFmtId="0" fontId="6" fillId="0" borderId="6" xfId="1" quotePrefix="1" applyFill="1" applyBorder="1" applyAlignment="1">
      <alignment horizontal="center" vertical="center"/>
    </xf>
    <xf numFmtId="0" fontId="4" fillId="3" borderId="13" xfId="0" quotePrefix="1" applyFont="1" applyFill="1" applyBorder="1" applyAlignment="1">
      <alignment horizontal="center" vertical="center" wrapText="1"/>
    </xf>
    <xf numFmtId="0" fontId="4" fillId="3" borderId="6" xfId="0" quotePrefix="1" applyFont="1" applyFill="1" applyBorder="1" applyAlignment="1">
      <alignment horizontal="center" vertical="center" wrapText="1"/>
    </xf>
    <xf numFmtId="0" fontId="6" fillId="0" borderId="10" xfId="1" quotePrefix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10" fillId="4" borderId="12" xfId="0" quotePrefix="1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164" fontId="10" fillId="4" borderId="12" xfId="0" quotePrefix="1" applyNumberFormat="1" applyFont="1" applyFill="1" applyBorder="1" applyAlignment="1">
      <alignment horizontal="center" vertical="center"/>
    </xf>
    <xf numFmtId="167" fontId="4" fillId="0" borderId="6" xfId="0" applyNumberFormat="1" applyFont="1" applyBorder="1" applyAlignment="1">
      <alignment horizontal="center" vertical="center"/>
    </xf>
    <xf numFmtId="0" fontId="6" fillId="0" borderId="6" xfId="1" quotePrefix="1" applyBorder="1" applyAlignment="1">
      <alignment horizontal="center" vertical="center"/>
    </xf>
    <xf numFmtId="0" fontId="6" fillId="4" borderId="6" xfId="1" quotePrefix="1" applyFill="1" applyBorder="1" applyAlignment="1">
      <alignment horizontal="center" vertical="center"/>
    </xf>
    <xf numFmtId="165" fontId="12" fillId="4" borderId="6" xfId="0" applyNumberFormat="1" applyFont="1" applyFill="1" applyBorder="1" applyAlignment="1">
      <alignment horizontal="center" vertical="center"/>
    </xf>
    <xf numFmtId="0" fontId="6" fillId="3" borderId="6" xfId="1" quotePrefix="1" applyFill="1" applyBorder="1" applyAlignment="1">
      <alignment horizontal="center" vertical="center"/>
    </xf>
    <xf numFmtId="0" fontId="5" fillId="5" borderId="5" xfId="0" quotePrefix="1" applyFont="1" applyFill="1" applyBorder="1" applyAlignment="1">
      <alignment vertical="center" wrapText="1"/>
    </xf>
    <xf numFmtId="0" fontId="5" fillId="5" borderId="6" xfId="0" quotePrefix="1" applyFont="1" applyFill="1" applyBorder="1" applyAlignment="1">
      <alignment horizontal="center" vertical="center" wrapText="1"/>
    </xf>
    <xf numFmtId="0" fontId="4" fillId="5" borderId="6" xfId="0" quotePrefix="1" applyFont="1" applyFill="1" applyBorder="1" applyAlignment="1">
      <alignment horizontal="center" vertical="center"/>
    </xf>
    <xf numFmtId="0" fontId="4" fillId="5" borderId="6" xfId="0" quotePrefix="1" applyFont="1" applyFill="1" applyBorder="1" applyAlignment="1">
      <alignment horizontal="center" vertical="center" wrapText="1"/>
    </xf>
    <xf numFmtId="0" fontId="5" fillId="5" borderId="6" xfId="0" quotePrefix="1" applyFont="1" applyFill="1" applyBorder="1" applyAlignment="1">
      <alignment horizontal="center" vertical="center"/>
    </xf>
    <xf numFmtId="0" fontId="5" fillId="5" borderId="5" xfId="0" quotePrefix="1" applyFont="1" applyFill="1" applyBorder="1" applyAlignment="1">
      <alignment vertical="center"/>
    </xf>
    <xf numFmtId="0" fontId="5" fillId="0" borderId="19" xfId="0" quotePrefix="1" applyFont="1" applyBorder="1" applyAlignment="1">
      <alignment vertical="center" wrapText="1"/>
    </xf>
    <xf numFmtId="0" fontId="5" fillId="0" borderId="2" xfId="0" quotePrefix="1" applyFont="1" applyBorder="1" applyAlignment="1">
      <alignment horizontal="center" vertical="center" wrapText="1"/>
    </xf>
    <xf numFmtId="0" fontId="4" fillId="0" borderId="2" xfId="0" quotePrefix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9" xfId="0" quotePrefix="1" applyFont="1" applyBorder="1" applyAlignment="1">
      <alignment vertical="center"/>
    </xf>
    <xf numFmtId="0" fontId="5" fillId="0" borderId="10" xfId="0" quotePrefix="1" applyFont="1" applyBorder="1" applyAlignment="1">
      <alignment horizontal="center" vertical="center"/>
    </xf>
    <xf numFmtId="0" fontId="4" fillId="0" borderId="10" xfId="0" quotePrefix="1" applyFont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10" xfId="0" quotePrefix="1" applyFont="1" applyFill="1" applyBorder="1" applyAlignment="1">
      <alignment horizontal="center" vertical="center" wrapText="1"/>
    </xf>
    <xf numFmtId="0" fontId="5" fillId="0" borderId="10" xfId="0" quotePrefix="1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6" fillId="0" borderId="2" xfId="1" quotePrefix="1" applyBorder="1" applyAlignment="1">
      <alignment horizontal="center" vertical="center"/>
    </xf>
    <xf numFmtId="0" fontId="5" fillId="0" borderId="7" xfId="0" applyFont="1" applyBorder="1"/>
    <xf numFmtId="0" fontId="5" fillId="0" borderId="9" xfId="0" quotePrefix="1" applyFont="1" applyBorder="1" applyAlignment="1">
      <alignment vertical="center" wrapText="1"/>
    </xf>
    <xf numFmtId="0" fontId="5" fillId="3" borderId="2" xfId="0" quotePrefix="1" applyFont="1" applyFill="1" applyBorder="1" applyAlignment="1">
      <alignment horizontal="center" vertical="center"/>
    </xf>
    <xf numFmtId="0" fontId="5" fillId="3" borderId="10" xfId="0" quotePrefix="1" applyFont="1" applyFill="1" applyBorder="1" applyAlignment="1">
      <alignment horizontal="center" vertical="center"/>
    </xf>
    <xf numFmtId="164" fontId="6" fillId="0" borderId="10" xfId="1" applyNumberFormat="1" applyBorder="1" applyAlignment="1">
      <alignment horizontal="center" vertical="center"/>
    </xf>
    <xf numFmtId="0" fontId="5" fillId="5" borderId="9" xfId="0" quotePrefix="1" applyFont="1" applyFill="1" applyBorder="1" applyAlignment="1">
      <alignment vertical="center" wrapText="1"/>
    </xf>
    <xf numFmtId="0" fontId="5" fillId="5" borderId="10" xfId="0" quotePrefix="1" applyFont="1" applyFill="1" applyBorder="1" applyAlignment="1">
      <alignment horizontal="center" vertical="center" wrapText="1"/>
    </xf>
    <xf numFmtId="0" fontId="4" fillId="5" borderId="10" xfId="0" quotePrefix="1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 wrapText="1"/>
    </xf>
    <xf numFmtId="0" fontId="5" fillId="5" borderId="10" xfId="0" applyFont="1" applyFill="1" applyBorder="1" applyAlignment="1">
      <alignment horizontal="center" vertical="center"/>
    </xf>
    <xf numFmtId="164" fontId="7" fillId="5" borderId="10" xfId="1" applyNumberFormat="1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1" fillId="0" borderId="15" xfId="0" applyFont="1" applyBorder="1" applyAlignment="1">
      <alignment horizontal="center" vertical="center" wrapText="1"/>
    </xf>
    <xf numFmtId="0" fontId="5" fillId="0" borderId="20" xfId="0" quotePrefix="1" applyFont="1" applyBorder="1" applyAlignment="1">
      <alignment vertical="center" wrapText="1"/>
    </xf>
    <xf numFmtId="0" fontId="5" fillId="0" borderId="21" xfId="0" quotePrefix="1" applyFont="1" applyBorder="1" applyAlignment="1">
      <alignment horizontal="center" vertical="center" wrapText="1"/>
    </xf>
    <xf numFmtId="0" fontId="4" fillId="0" borderId="21" xfId="0" quotePrefix="1" applyFont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/>
    </xf>
    <xf numFmtId="0" fontId="5" fillId="3" borderId="21" xfId="0" quotePrefix="1" applyFont="1" applyFill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6" fillId="0" borderId="21" xfId="1" quotePrefix="1" applyBorder="1" applyAlignment="1">
      <alignment horizontal="center" vertical="center"/>
    </xf>
    <xf numFmtId="164" fontId="4" fillId="0" borderId="21" xfId="0" applyNumberFormat="1" applyFont="1" applyBorder="1" applyAlignment="1">
      <alignment horizontal="center" vertical="center"/>
    </xf>
    <xf numFmtId="164" fontId="5" fillId="0" borderId="21" xfId="0" applyNumberFormat="1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5" borderId="20" xfId="0" quotePrefix="1" applyFont="1" applyFill="1" applyBorder="1" applyAlignment="1">
      <alignment vertical="center" wrapText="1"/>
    </xf>
    <xf numFmtId="0" fontId="5" fillId="5" borderId="21" xfId="0" quotePrefix="1" applyFont="1" applyFill="1" applyBorder="1" applyAlignment="1">
      <alignment horizontal="center" vertical="center" wrapText="1"/>
    </xf>
    <xf numFmtId="0" fontId="4" fillId="5" borderId="21" xfId="0" quotePrefix="1" applyFont="1" applyFill="1" applyBorder="1" applyAlignment="1">
      <alignment horizontal="center" vertical="center"/>
    </xf>
    <xf numFmtId="0" fontId="4" fillId="5" borderId="21" xfId="0" quotePrefix="1" applyFont="1" applyFill="1" applyBorder="1" applyAlignment="1">
      <alignment horizontal="center" vertical="center" wrapText="1"/>
    </xf>
    <xf numFmtId="0" fontId="5" fillId="5" borderId="21" xfId="0" quotePrefix="1" applyFont="1" applyFill="1" applyBorder="1" applyAlignment="1">
      <alignment horizontal="center" vertical="center"/>
    </xf>
    <xf numFmtId="166" fontId="9" fillId="3" borderId="22" xfId="0" applyNumberFormat="1" applyFont="1" applyFill="1" applyBorder="1" applyAlignment="1">
      <alignment horizontal="center" vertical="center"/>
    </xf>
    <xf numFmtId="0" fontId="5" fillId="5" borderId="19" xfId="0" quotePrefix="1" applyFont="1" applyFill="1" applyBorder="1" applyAlignment="1">
      <alignment vertical="center" wrapText="1"/>
    </xf>
    <xf numFmtId="0" fontId="5" fillId="5" borderId="2" xfId="0" quotePrefix="1" applyFont="1" applyFill="1" applyBorder="1" applyAlignment="1">
      <alignment horizontal="center" vertical="center" wrapText="1"/>
    </xf>
    <xf numFmtId="0" fontId="4" fillId="5" borderId="2" xfId="0" quotePrefix="1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/>
    </xf>
    <xf numFmtId="0" fontId="6" fillId="4" borderId="10" xfId="1" quotePrefix="1" applyFill="1" applyBorder="1" applyAlignment="1">
      <alignment horizontal="center" vertical="center"/>
    </xf>
    <xf numFmtId="164" fontId="4" fillId="4" borderId="10" xfId="0" applyNumberFormat="1" applyFont="1" applyFill="1" applyBorder="1" applyAlignment="1">
      <alignment horizontal="center" vertical="center"/>
    </xf>
    <xf numFmtId="164" fontId="5" fillId="4" borderId="10" xfId="0" applyNumberFormat="1" applyFont="1" applyFill="1" applyBorder="1" applyAlignment="1">
      <alignment horizontal="center" vertical="center"/>
    </xf>
    <xf numFmtId="0" fontId="8" fillId="4" borderId="11" xfId="0" applyFont="1" applyFill="1" applyBorder="1" applyAlignment="1">
      <alignment horizontal="center" vertical="center"/>
    </xf>
    <xf numFmtId="164" fontId="6" fillId="0" borderId="21" xfId="1" applyNumberFormat="1" applyBorder="1" applyAlignment="1">
      <alignment horizontal="center" vertical="center"/>
    </xf>
    <xf numFmtId="0" fontId="5" fillId="0" borderId="2" xfId="0" quotePrefix="1" applyFont="1" applyBorder="1" applyAlignment="1">
      <alignment vertical="center" wrapText="1"/>
    </xf>
    <xf numFmtId="0" fontId="5" fillId="0" borderId="12" xfId="0" applyFont="1" applyBorder="1" applyAlignment="1">
      <alignment horizontal="center" vertical="center"/>
    </xf>
    <xf numFmtId="0" fontId="5" fillId="5" borderId="2" xfId="0" quotePrefix="1" applyFont="1" applyFill="1" applyBorder="1" applyAlignment="1">
      <alignment vertical="center" wrapText="1"/>
    </xf>
    <xf numFmtId="0" fontId="7" fillId="0" borderId="2" xfId="1" quotePrefix="1" applyFont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5" fillId="5" borderId="10" xfId="0" quotePrefix="1" applyFont="1" applyFill="1" applyBorder="1" applyAlignment="1">
      <alignment vertical="center" wrapText="1"/>
    </xf>
    <xf numFmtId="166" fontId="9" fillId="3" borderId="11" xfId="0" applyNumberFormat="1" applyFont="1" applyFill="1" applyBorder="1" applyAlignment="1">
      <alignment horizontal="center" vertical="center"/>
    </xf>
    <xf numFmtId="0" fontId="5" fillId="0" borderId="6" xfId="0" quotePrefix="1" applyFont="1" applyBorder="1" applyAlignment="1">
      <alignment vertical="center"/>
    </xf>
    <xf numFmtId="0" fontId="4" fillId="0" borderId="6" xfId="0" applyFont="1" applyBorder="1" applyAlignment="1">
      <alignment horizontal="center" vertical="center" wrapText="1"/>
    </xf>
    <xf numFmtId="0" fontId="6" fillId="0" borderId="6" xfId="1" quotePrefix="1" applyBorder="1" applyAlignment="1">
      <alignment horizontal="center" vertical="center" wrapText="1"/>
    </xf>
    <xf numFmtId="164" fontId="4" fillId="0" borderId="6" xfId="0" applyNumberFormat="1" applyFont="1" applyBorder="1" applyAlignment="1">
      <alignment horizontal="center" vertical="center" wrapText="1"/>
    </xf>
    <xf numFmtId="164" fontId="5" fillId="0" borderId="6" xfId="0" applyNumberFormat="1" applyFont="1" applyBorder="1" applyAlignment="1">
      <alignment horizontal="center" vertical="center" wrapText="1"/>
    </xf>
    <xf numFmtId="166" fontId="9" fillId="3" borderId="7" xfId="0" applyNumberFormat="1" applyFont="1" applyFill="1" applyBorder="1" applyAlignment="1">
      <alignment horizontal="center" vertical="center" wrapText="1"/>
    </xf>
    <xf numFmtId="0" fontId="0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2" borderId="23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65" fontId="0" fillId="0" borderId="26" xfId="0" applyNumberFormat="1" applyFont="1" applyBorder="1"/>
    <xf numFmtId="165" fontId="0" fillId="0" borderId="27" xfId="0" applyNumberFormat="1" applyFont="1" applyBorder="1"/>
    <xf numFmtId="165" fontId="0" fillId="0" borderId="27" xfId="0" applyNumberFormat="1" applyFont="1" applyBorder="1" applyAlignment="1">
      <alignment wrapText="1"/>
    </xf>
    <xf numFmtId="165" fontId="0" fillId="0" borderId="28" xfId="0" applyNumberFormat="1" applyFont="1" applyBorder="1"/>
    <xf numFmtId="0" fontId="7" fillId="0" borderId="10" xfId="1" quotePrefix="1" applyFont="1" applyBorder="1" applyAlignment="1">
      <alignment horizontal="center" vertical="center" wrapText="1"/>
    </xf>
    <xf numFmtId="165" fontId="0" fillId="0" borderId="0" xfId="0" applyNumberFormat="1" applyAlignment="1">
      <alignment horizontal="center"/>
    </xf>
    <xf numFmtId="164" fontId="7" fillId="5" borderId="2" xfId="1" applyNumberFormat="1" applyFont="1" applyFill="1" applyBorder="1" applyAlignment="1">
      <alignment horizontal="center" vertical="center" wrapText="1"/>
    </xf>
    <xf numFmtId="165" fontId="0" fillId="0" borderId="4" xfId="0" applyNumberFormat="1" applyBorder="1" applyAlignment="1">
      <alignment horizontal="center"/>
    </xf>
    <xf numFmtId="0" fontId="13" fillId="3" borderId="23" xfId="0" applyFont="1" applyFill="1" applyBorder="1" applyAlignment="1">
      <alignment horizontal="center" vertical="center" wrapText="1"/>
    </xf>
    <xf numFmtId="0" fontId="13" fillId="3" borderId="24" xfId="0" applyFont="1" applyFill="1" applyBorder="1" applyAlignment="1">
      <alignment horizontal="center" vertical="center" wrapText="1"/>
    </xf>
    <xf numFmtId="165" fontId="5" fillId="0" borderId="25" xfId="0" applyNumberFormat="1" applyFont="1" applyBorder="1" applyAlignment="1">
      <alignment horizontal="center" vertical="center"/>
    </xf>
    <xf numFmtId="0" fontId="13" fillId="3" borderId="23" xfId="0" applyFont="1" applyFill="1" applyBorder="1" applyAlignment="1">
      <alignment horizontal="center" wrapText="1"/>
    </xf>
    <xf numFmtId="0" fontId="13" fillId="3" borderId="24" xfId="0" applyFont="1" applyFill="1" applyBorder="1" applyAlignment="1">
      <alignment horizontal="center" wrapText="1"/>
    </xf>
    <xf numFmtId="165" fontId="5" fillId="0" borderId="25" xfId="0" applyNumberFormat="1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lcsc.com/product-detail/Light-Emitting-Diodes-LED_Everlight-Elec-16-213-GHC-YR1S1-3T_C74338.html" TargetMode="External"/><Relationship Id="rId18" Type="http://schemas.openxmlformats.org/officeDocument/2006/relationships/hyperlink" Target="https://www.lcsc.com/product-detail/Chip-Resistor-Surface-Mount_YAGEO-RC0603FR-0733RL_C108661.html" TargetMode="External"/><Relationship Id="rId26" Type="http://schemas.openxmlformats.org/officeDocument/2006/relationships/hyperlink" Target="https://www.lcsc.com/product-detail/Receivers-Transceivers_Texas-Instruments-SN74LVCH8T245PWR_C201741.html" TargetMode="External"/><Relationship Id="rId39" Type="http://schemas.openxmlformats.org/officeDocument/2006/relationships/printerSettings" Target="../printerSettings/printerSettings1.bin"/><Relationship Id="rId21" Type="http://schemas.openxmlformats.org/officeDocument/2006/relationships/hyperlink" Target="https://www.lcsc.com/product-detail/Chip-Resistor-Surface-Mount_RALEC-RTT25R18JTE_C159165.html" TargetMode="External"/><Relationship Id="rId34" Type="http://schemas.openxmlformats.org/officeDocument/2006/relationships/hyperlink" Target="https://www.lcsc.com/product-detail/Multilayer-Ceramic-Capacitors-MLCC-SMD-SMT_Taiyo-Yuden-UMK107BBJ225KA-T_C268016.html" TargetMode="External"/><Relationship Id="rId7" Type="http://schemas.openxmlformats.org/officeDocument/2006/relationships/hyperlink" Target="https://www.lcsc.com/product-detail/Tantalum-Capacitors_CEC-Shenzhen-Zhenhua-XinYun-Elec-CA45A-A-10V-22uF-K_C141745.html" TargetMode="External"/><Relationship Id="rId12" Type="http://schemas.openxmlformats.org/officeDocument/2006/relationships/hyperlink" Target="https://www.utsource.net/itm/p/819662.html?digipart=1" TargetMode="External"/><Relationship Id="rId17" Type="http://schemas.openxmlformats.org/officeDocument/2006/relationships/hyperlink" Target="https://www.lcsc.com/product-detail/Chip-Resistor-Surface-Mount_YAGEO-RC0603JR-07330RL_C105879.html" TargetMode="External"/><Relationship Id="rId25" Type="http://schemas.openxmlformats.org/officeDocument/2006/relationships/hyperlink" Target="https://www.lcsc.com/product-detail/EEPROM_onsemi-CAT24C256WI-GT3_C79987.html" TargetMode="External"/><Relationship Id="rId33" Type="http://schemas.openxmlformats.org/officeDocument/2006/relationships/hyperlink" Target="https://www.lcsc.com/product-detail/Multilayer-Ceramic-Capacitors-MLCC-SMD-SMT_Samsung-Electro-Mechanics-CL10B223KB8NNNC_C21122.html" TargetMode="External"/><Relationship Id="rId38" Type="http://schemas.openxmlformats.org/officeDocument/2006/relationships/hyperlink" Target="https://www.lcsc.com/product-detail/Pin-Headers_CJT-Changjiang-Connectors-A2541WV-2x5P_C225520.html" TargetMode="External"/><Relationship Id="rId2" Type="http://schemas.openxmlformats.org/officeDocument/2006/relationships/hyperlink" Target="https://www.lcsc.com/product-detail/Multilayer-Ceramic-Capacitors-MLCC-SMD-SMT_YAGEO-CC0603KRX7R0BB104_C113803.html" TargetMode="External"/><Relationship Id="rId16" Type="http://schemas.openxmlformats.org/officeDocument/2006/relationships/hyperlink" Target="https://www.lcsc.com/product-detail/Chip-Resistor-Surface-Mount_YAGEO-AC0603JR-0710KL_C140867.html" TargetMode="External"/><Relationship Id="rId20" Type="http://schemas.openxmlformats.org/officeDocument/2006/relationships/hyperlink" Target="https://www.lcsc.com/product-detail/Chip-Resistor-Surface-Mount_YAGEO-RT0603CRD0712K1L_C705893.html" TargetMode="External"/><Relationship Id="rId29" Type="http://schemas.openxmlformats.org/officeDocument/2006/relationships/hyperlink" Target="https://www.lcsc.com/product-detail/Pin-Headers_TE-Connectivity-826629-2_C86471.html" TargetMode="External"/><Relationship Id="rId1" Type="http://schemas.openxmlformats.org/officeDocument/2006/relationships/hyperlink" Target="https://www.lcsc.com/product-detail/old-batch_Murata-Electronics-GCM21BC72A105KE36L_C2842838.html" TargetMode="External"/><Relationship Id="rId6" Type="http://schemas.openxmlformats.org/officeDocument/2006/relationships/hyperlink" Target="https://www.lcsc.com/product-detail/Aluminum-Electrolytic-Capacitors-SMD_Honor-Elec-RVT1E100M0405_C3343.html" TargetMode="External"/><Relationship Id="rId11" Type="http://schemas.openxmlformats.org/officeDocument/2006/relationships/hyperlink" Target="https://www.lcsc.com/product-detail/Schottky-Barrier-Diodes-SBD_Tak-Cheong-MSK4010_C968723.html" TargetMode="External"/><Relationship Id="rId24" Type="http://schemas.openxmlformats.org/officeDocument/2006/relationships/hyperlink" Target="https://www.utsource.net/itm/p/9456640.html?digipart=1" TargetMode="External"/><Relationship Id="rId32" Type="http://schemas.openxmlformats.org/officeDocument/2006/relationships/hyperlink" Target="https://www.lcsc.com/product-detail/Multilayer-Ceramic-Capacitors-MLCC-SMD-SMT_YAGEO-CC0603JRNPO9BN100_C106245.html" TargetMode="External"/><Relationship Id="rId37" Type="http://schemas.openxmlformats.org/officeDocument/2006/relationships/hyperlink" Target="https://www.alibaba.com/product-detail/New-Original-TLE5012BE1000-EVAL-TLE5012B-ANGLE_1600334667239.html?spm=a2700.galleryofferlist.normal_offer.d_title.1fbd51e8YVKN6t" TargetMode="External"/><Relationship Id="rId5" Type="http://schemas.openxmlformats.org/officeDocument/2006/relationships/hyperlink" Target="https://www.lcsc.com/product-detail/Aluminum-Electrolytic-Capacitors-SMD_Ymin-VKMD1001J101MV_C487384.html" TargetMode="External"/><Relationship Id="rId15" Type="http://schemas.openxmlformats.org/officeDocument/2006/relationships/hyperlink" Target="https://www.lcsc.com/product-detail/Inductors-SMD_microgate-MGFL2012F100MT-LF_C281113.html" TargetMode="External"/><Relationship Id="rId23" Type="http://schemas.openxmlformats.org/officeDocument/2006/relationships/hyperlink" Target="https://www.lcsc.com/product-detail/Chip-Resistor-Surface-Mount_YAGEO-RC0603FR-0749K9L_C114624.html" TargetMode="External"/><Relationship Id="rId28" Type="http://schemas.openxmlformats.org/officeDocument/2006/relationships/hyperlink" Target="https://www.lcsc.com/product-detail/Linear-Voltage-Regulators-LDO_Diodes-Incorporated-AZ1117CH-3-3TRG1_C92102.html" TargetMode="External"/><Relationship Id="rId36" Type="http://schemas.openxmlformats.org/officeDocument/2006/relationships/hyperlink" Target="https://www.alibaba.com/product-detail/IC-STEPPER-MOTOR-DRIVER-RoHS-TMC2202_1600143313562.html?spm=a2700.galleryofferlist.normal_offer.d_title.1b6e460eVRgoNU" TargetMode="External"/><Relationship Id="rId10" Type="http://schemas.openxmlformats.org/officeDocument/2006/relationships/hyperlink" Target="https://www.lcsc.com/product-detail/Schottky-Barrier-Diodes-SBD_Nexperia-PMEG3030EP-115_C255587.html" TargetMode="External"/><Relationship Id="rId19" Type="http://schemas.openxmlformats.org/officeDocument/2006/relationships/hyperlink" Target="https://www.lcsc.com/product-detail/Chip-Resistor-Surface-Mount_YAGEO-RC0603FR-071KL_C22548.html" TargetMode="External"/><Relationship Id="rId31" Type="http://schemas.openxmlformats.org/officeDocument/2006/relationships/hyperlink" Target="https://www.lcsc.com/product-detail/Multilayer-Ceramic-Capacitors-MLCC-SMD-SMT_TDK-C1608X5R1E475KT000E_C76615.html" TargetMode="External"/><Relationship Id="rId4" Type="http://schemas.openxmlformats.org/officeDocument/2006/relationships/hyperlink" Target="https://www.lcsc.com/product-detail/Aluminum-Electrolytic-Capacitors-SMD_Ymin-VKMB1001E101MV_C487322.html" TargetMode="External"/><Relationship Id="rId9" Type="http://schemas.openxmlformats.org/officeDocument/2006/relationships/hyperlink" Target="https://www.lcsc.com/product-detail/TVS_MDD-Microdiode-Electronics-SD36_C502531.html" TargetMode="External"/><Relationship Id="rId14" Type="http://schemas.openxmlformats.org/officeDocument/2006/relationships/hyperlink" Target="https://www.lcsc.com/product-detail/Ferrite-Beads_Meled-MLB1608-201P1A-f_C45316.html" TargetMode="External"/><Relationship Id="rId22" Type="http://schemas.openxmlformats.org/officeDocument/2006/relationships/hyperlink" Target="https://www.lcsc.com/product-detail/Chip-Resistor-Surface-Mount_UNI-ROYAL-Uniroyal-Elec-0805W8F9001T5E_C247026.html" TargetMode="External"/><Relationship Id="rId27" Type="http://schemas.openxmlformats.org/officeDocument/2006/relationships/hyperlink" Target="https://www.lcsc.com/product-detail/DC-DC-Converters_XLSEMI-XL4001E1_C73347.html" TargetMode="External"/><Relationship Id="rId30" Type="http://schemas.openxmlformats.org/officeDocument/2006/relationships/hyperlink" Target="https://www.lcsc.com/product-detail/Pin-Headers_MINTRON-MTP125-1105S1_C358687.html" TargetMode="External"/><Relationship Id="rId35" Type="http://schemas.openxmlformats.org/officeDocument/2006/relationships/hyperlink" Target="https://www.lcsc.com/product-detail/Chip-span-style-background-color-ff0-Resistor-span-Surface-Mount_YAGEO-RL2512FK-070R075L_C705611.html" TargetMode="External"/><Relationship Id="rId8" Type="http://schemas.openxmlformats.org/officeDocument/2006/relationships/hyperlink" Target="https://www.lcsc.com/product-detail/Multilayer-Ceramic-Capacitors-MLCC-SMD-SMT_YAGEO-CC1206KKX7RDBB102_C23631.html" TargetMode="External"/><Relationship Id="rId3" Type="http://schemas.openxmlformats.org/officeDocument/2006/relationships/hyperlink" Target="https://www.lcsc.com/product-detail/Multilayer-Ceramic-Capacitors-MLCC-SMD-SMT_Murata-Electronics-GRM21BR61H106KE43L_C440198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63"/>
  <sheetViews>
    <sheetView tabSelected="1" topLeftCell="A25" zoomScale="85" zoomScaleNormal="85" workbookViewId="0">
      <selection activeCell="P48" sqref="P48"/>
    </sheetView>
  </sheetViews>
  <sheetFormatPr defaultRowHeight="15" x14ac:dyDescent="0.25"/>
  <cols>
    <col min="1" max="1" width="6.140625" style="37" bestFit="1" customWidth="1"/>
    <col min="2" max="2" width="14.42578125" customWidth="1"/>
    <col min="3" max="3" width="47.5703125" customWidth="1"/>
    <col min="4" max="4" width="33.140625" customWidth="1"/>
    <col min="5" max="5" width="21" bestFit="1" customWidth="1"/>
    <col min="6" max="6" width="29" bestFit="1" customWidth="1"/>
    <col min="7" max="7" width="19.140625" bestFit="1" customWidth="1"/>
    <col min="8" max="8" width="14.42578125" style="37" customWidth="1"/>
    <col min="9" max="9" width="21.5703125" bestFit="1" customWidth="1"/>
    <col min="10" max="10" width="7" bestFit="1" customWidth="1"/>
    <col min="11" max="11" width="11.5703125" bestFit="1" customWidth="1"/>
    <col min="12" max="12" width="21.85546875" bestFit="1" customWidth="1"/>
    <col min="13" max="13" width="14.140625" bestFit="1" customWidth="1"/>
    <col min="14" max="14" width="10.28515625" bestFit="1" customWidth="1"/>
    <col min="15" max="15" width="12.7109375" bestFit="1" customWidth="1"/>
    <col min="16" max="16" width="13.42578125" bestFit="1" customWidth="1"/>
    <col min="17" max="17" width="14.140625" bestFit="1" customWidth="1"/>
    <col min="18" max="18" width="26.5703125" customWidth="1"/>
  </cols>
  <sheetData>
    <row r="1" spans="1:34" ht="16.5" thickBot="1" x14ac:dyDescent="0.3">
      <c r="A1" s="168" t="s">
        <v>49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70"/>
      <c r="R1" s="168" t="s">
        <v>49</v>
      </c>
      <c r="S1" s="169"/>
      <c r="T1" s="169"/>
      <c r="U1" s="169"/>
      <c r="V1" s="169"/>
      <c r="W1" s="169"/>
      <c r="X1" s="169"/>
      <c r="Y1" s="169"/>
      <c r="Z1" s="169"/>
      <c r="AA1" s="169"/>
      <c r="AB1" s="169"/>
      <c r="AC1" s="169"/>
      <c r="AD1" s="169"/>
      <c r="AE1" s="169"/>
      <c r="AF1" s="169"/>
      <c r="AG1" s="169"/>
      <c r="AH1" s="170"/>
    </row>
    <row r="2" spans="1:34" ht="48" thickBot="1" x14ac:dyDescent="0.3">
      <c r="A2" s="38" t="s">
        <v>0</v>
      </c>
      <c r="B2" s="46" t="s">
        <v>1</v>
      </c>
      <c r="C2" s="47" t="s">
        <v>2</v>
      </c>
      <c r="D2" s="47" t="s">
        <v>3</v>
      </c>
      <c r="E2" s="47" t="s">
        <v>4</v>
      </c>
      <c r="F2" s="47" t="s">
        <v>5</v>
      </c>
      <c r="G2" s="47" t="s">
        <v>6</v>
      </c>
      <c r="H2" s="47" t="s">
        <v>7</v>
      </c>
      <c r="I2" s="47" t="s">
        <v>8</v>
      </c>
      <c r="J2" s="47" t="s">
        <v>9</v>
      </c>
      <c r="K2" s="47" t="s">
        <v>10</v>
      </c>
      <c r="L2" s="47" t="s">
        <v>11</v>
      </c>
      <c r="M2" s="47" t="s">
        <v>209</v>
      </c>
      <c r="N2" s="48" t="s">
        <v>47</v>
      </c>
      <c r="O2" s="44" t="s">
        <v>12</v>
      </c>
      <c r="P2" s="39" t="s">
        <v>48</v>
      </c>
      <c r="Q2" s="47" t="s">
        <v>13</v>
      </c>
      <c r="R2" s="171" t="s">
        <v>278</v>
      </c>
    </row>
    <row r="3" spans="1:34" ht="15.75" thickBot="1" x14ac:dyDescent="0.3">
      <c r="A3" s="45">
        <v>1</v>
      </c>
      <c r="B3" s="165" t="s">
        <v>14</v>
      </c>
      <c r="C3" s="95" t="s">
        <v>50</v>
      </c>
      <c r="D3" s="96" t="s">
        <v>51</v>
      </c>
      <c r="E3" s="96" t="s">
        <v>21</v>
      </c>
      <c r="F3" s="96" t="s">
        <v>52</v>
      </c>
      <c r="G3" s="97" t="s">
        <v>53</v>
      </c>
      <c r="H3" s="68" t="s">
        <v>214</v>
      </c>
      <c r="I3" s="76" t="s">
        <v>216</v>
      </c>
      <c r="J3" s="96" t="s">
        <v>19</v>
      </c>
      <c r="K3" s="98">
        <v>2100</v>
      </c>
      <c r="L3" s="1">
        <v>5</v>
      </c>
      <c r="M3" s="79">
        <f t="shared" ref="M3:M46" si="0">L3*400</f>
        <v>2000</v>
      </c>
      <c r="N3" s="72" t="s">
        <v>16</v>
      </c>
      <c r="O3" s="49">
        <v>6.8199999999999997E-2</v>
      </c>
      <c r="P3" s="3">
        <f t="shared" ref="P3:P46" si="1">O3*K3</f>
        <v>143.22</v>
      </c>
      <c r="Q3" s="4"/>
      <c r="R3" s="172"/>
      <c r="S3" s="5"/>
    </row>
    <row r="4" spans="1:34" ht="51.75" thickBot="1" x14ac:dyDescent="0.3">
      <c r="A4" s="45">
        <v>2</v>
      </c>
      <c r="B4" s="167"/>
      <c r="C4" s="23" t="s">
        <v>54</v>
      </c>
      <c r="D4" s="21" t="s">
        <v>55</v>
      </c>
      <c r="E4" s="21" t="s">
        <v>56</v>
      </c>
      <c r="F4" s="21" t="s">
        <v>57</v>
      </c>
      <c r="G4" s="70" t="s">
        <v>58</v>
      </c>
      <c r="H4" s="59" t="s">
        <v>215</v>
      </c>
      <c r="I4" s="77" t="s">
        <v>216</v>
      </c>
      <c r="J4" s="21" t="s">
        <v>15</v>
      </c>
      <c r="K4" s="19">
        <v>10500</v>
      </c>
      <c r="L4" s="7">
        <v>26</v>
      </c>
      <c r="M4" s="8">
        <f t="shared" si="0"/>
        <v>10400</v>
      </c>
      <c r="N4" s="74" t="s">
        <v>16</v>
      </c>
      <c r="O4" s="50">
        <v>4.7000000000000002E-3</v>
      </c>
      <c r="P4" s="9">
        <f t="shared" si="1"/>
        <v>49.35</v>
      </c>
      <c r="Q4" s="10"/>
      <c r="R4" s="173"/>
      <c r="S4" s="5"/>
    </row>
    <row r="5" spans="1:34" ht="15.75" thickBot="1" x14ac:dyDescent="0.3">
      <c r="A5" s="45">
        <v>3</v>
      </c>
      <c r="B5" s="167"/>
      <c r="C5" s="23" t="s">
        <v>59</v>
      </c>
      <c r="D5" s="21" t="s">
        <v>60</v>
      </c>
      <c r="E5" s="21" t="s">
        <v>21</v>
      </c>
      <c r="F5" s="21" t="s">
        <v>61</v>
      </c>
      <c r="G5" s="6" t="s">
        <v>53</v>
      </c>
      <c r="H5" s="59" t="s">
        <v>218</v>
      </c>
      <c r="I5" s="60" t="s">
        <v>217</v>
      </c>
      <c r="J5" s="21" t="s">
        <v>22</v>
      </c>
      <c r="K5" s="19">
        <v>420</v>
      </c>
      <c r="L5" s="7">
        <v>1</v>
      </c>
      <c r="M5" s="8">
        <f t="shared" si="0"/>
        <v>400</v>
      </c>
      <c r="N5" s="74" t="s">
        <v>16</v>
      </c>
      <c r="O5" s="50">
        <v>8.6999999999999994E-2</v>
      </c>
      <c r="P5" s="9">
        <f t="shared" si="1"/>
        <v>36.54</v>
      </c>
      <c r="Q5" s="10"/>
      <c r="R5" s="173"/>
      <c r="S5" s="5"/>
    </row>
    <row r="6" spans="1:34" ht="15.75" thickBot="1" x14ac:dyDescent="0.3">
      <c r="A6" s="45">
        <v>4</v>
      </c>
      <c r="B6" s="167"/>
      <c r="C6" s="23" t="s">
        <v>62</v>
      </c>
      <c r="D6" s="21" t="s">
        <v>63</v>
      </c>
      <c r="E6" s="21" t="s">
        <v>56</v>
      </c>
      <c r="F6" s="21" t="s">
        <v>64</v>
      </c>
      <c r="G6" s="6" t="s">
        <v>65</v>
      </c>
      <c r="H6" s="59" t="s">
        <v>262</v>
      </c>
      <c r="I6" s="60" t="s">
        <v>261</v>
      </c>
      <c r="J6" s="21" t="s">
        <v>18</v>
      </c>
      <c r="K6" s="19">
        <v>1700</v>
      </c>
      <c r="L6" s="7">
        <v>4</v>
      </c>
      <c r="M6" s="8">
        <f t="shared" si="0"/>
        <v>1600</v>
      </c>
      <c r="N6" s="85" t="s">
        <v>16</v>
      </c>
      <c r="O6" s="84">
        <v>2.3099999999999999E-2</v>
      </c>
      <c r="P6" s="56">
        <f t="shared" si="1"/>
        <v>39.269999999999996</v>
      </c>
      <c r="Q6" s="10"/>
      <c r="R6" s="173"/>
      <c r="S6" s="5"/>
    </row>
    <row r="7" spans="1:34" ht="26.25" thickBot="1" x14ac:dyDescent="0.3">
      <c r="A7" s="45">
        <v>5</v>
      </c>
      <c r="B7" s="167"/>
      <c r="C7" s="23" t="s">
        <v>66</v>
      </c>
      <c r="D7" s="21" t="s">
        <v>67</v>
      </c>
      <c r="E7" s="21" t="s">
        <v>56</v>
      </c>
      <c r="F7" s="21" t="s">
        <v>68</v>
      </c>
      <c r="G7" s="6" t="s">
        <v>69</v>
      </c>
      <c r="H7" s="59" t="s">
        <v>263</v>
      </c>
      <c r="I7" s="60" t="s">
        <v>264</v>
      </c>
      <c r="J7" s="21" t="s">
        <v>195</v>
      </c>
      <c r="K7" s="19">
        <v>5000</v>
      </c>
      <c r="L7" s="40">
        <v>12</v>
      </c>
      <c r="M7" s="8">
        <f t="shared" si="0"/>
        <v>4800</v>
      </c>
      <c r="N7" s="85" t="s">
        <v>16</v>
      </c>
      <c r="O7" s="61">
        <v>2.2000000000000001E-3</v>
      </c>
      <c r="P7" s="62">
        <f t="shared" si="1"/>
        <v>11</v>
      </c>
      <c r="Q7" s="24"/>
      <c r="R7" s="173"/>
      <c r="S7" s="5"/>
    </row>
    <row r="8" spans="1:34" ht="15.75" thickBot="1" x14ac:dyDescent="0.3">
      <c r="A8" s="45">
        <v>6</v>
      </c>
      <c r="B8" s="167"/>
      <c r="C8" s="23" t="s">
        <v>70</v>
      </c>
      <c r="D8" s="21" t="s">
        <v>71</v>
      </c>
      <c r="E8" s="21" t="s">
        <v>56</v>
      </c>
      <c r="F8" s="21" t="s">
        <v>72</v>
      </c>
      <c r="G8" s="6" t="s">
        <v>65</v>
      </c>
      <c r="H8" s="59" t="s">
        <v>265</v>
      </c>
      <c r="I8" s="60" t="s">
        <v>266</v>
      </c>
      <c r="J8" s="21" t="s">
        <v>196</v>
      </c>
      <c r="K8" s="19">
        <v>1300</v>
      </c>
      <c r="L8" s="7">
        <v>3</v>
      </c>
      <c r="M8" s="8">
        <f t="shared" si="0"/>
        <v>1200</v>
      </c>
      <c r="N8" s="85" t="s">
        <v>16</v>
      </c>
      <c r="O8" s="50">
        <v>4.1999999999999997E-3</v>
      </c>
      <c r="P8" s="9">
        <f t="shared" si="1"/>
        <v>5.46</v>
      </c>
      <c r="Q8" s="10"/>
      <c r="R8" s="173"/>
      <c r="S8" s="5"/>
    </row>
    <row r="9" spans="1:34" ht="15.75" thickBot="1" x14ac:dyDescent="0.3">
      <c r="A9" s="45">
        <v>7</v>
      </c>
      <c r="B9" s="167"/>
      <c r="C9" s="23" t="s">
        <v>73</v>
      </c>
      <c r="D9" s="21" t="s">
        <v>74</v>
      </c>
      <c r="E9" s="21" t="s">
        <v>56</v>
      </c>
      <c r="F9" s="21" t="s">
        <v>75</v>
      </c>
      <c r="G9" s="6" t="s">
        <v>76</v>
      </c>
      <c r="H9" s="59" t="s">
        <v>267</v>
      </c>
      <c r="I9" s="59" t="s">
        <v>268</v>
      </c>
      <c r="J9" s="21" t="s">
        <v>197</v>
      </c>
      <c r="K9" s="19">
        <v>420</v>
      </c>
      <c r="L9" s="7">
        <v>1</v>
      </c>
      <c r="M9" s="8">
        <f t="shared" si="0"/>
        <v>400</v>
      </c>
      <c r="N9" s="85" t="s">
        <v>16</v>
      </c>
      <c r="O9" s="51">
        <v>3.0200000000000001E-2</v>
      </c>
      <c r="P9" s="9">
        <f t="shared" si="1"/>
        <v>12.684000000000001</v>
      </c>
      <c r="Q9" s="10"/>
      <c r="R9" s="173"/>
      <c r="S9" s="5"/>
    </row>
    <row r="10" spans="1:34" ht="26.25" thickBot="1" x14ac:dyDescent="0.3">
      <c r="A10" s="45">
        <v>8</v>
      </c>
      <c r="B10" s="167"/>
      <c r="C10" s="23" t="s">
        <v>77</v>
      </c>
      <c r="D10" s="21" t="s">
        <v>78</v>
      </c>
      <c r="E10" s="21" t="s">
        <v>23</v>
      </c>
      <c r="F10" s="21" t="s">
        <v>79</v>
      </c>
      <c r="G10" s="70" t="s">
        <v>219</v>
      </c>
      <c r="H10" s="59" t="s">
        <v>220</v>
      </c>
      <c r="I10" s="77" t="s">
        <v>216</v>
      </c>
      <c r="J10" s="21" t="s">
        <v>198</v>
      </c>
      <c r="K10" s="19">
        <v>420</v>
      </c>
      <c r="L10" s="22">
        <v>1</v>
      </c>
      <c r="M10" s="8">
        <f t="shared" si="0"/>
        <v>400</v>
      </c>
      <c r="N10" s="75" t="s">
        <v>16</v>
      </c>
      <c r="O10" s="54">
        <v>5.8500000000000003E-2</v>
      </c>
      <c r="P10" s="55">
        <f t="shared" si="1"/>
        <v>24.57</v>
      </c>
      <c r="Q10" s="58"/>
      <c r="R10" s="173"/>
      <c r="S10" s="5"/>
    </row>
    <row r="11" spans="1:34" ht="26.25" thickBot="1" x14ac:dyDescent="0.3">
      <c r="A11" s="45">
        <v>9</v>
      </c>
      <c r="B11" s="167"/>
      <c r="C11" s="23" t="s">
        <v>80</v>
      </c>
      <c r="D11" s="21" t="s">
        <v>81</v>
      </c>
      <c r="E11" s="21" t="s">
        <v>23</v>
      </c>
      <c r="F11" s="21" t="s">
        <v>82</v>
      </c>
      <c r="G11" s="70" t="s">
        <v>219</v>
      </c>
      <c r="H11" s="59" t="s">
        <v>221</v>
      </c>
      <c r="I11" s="77" t="s">
        <v>216</v>
      </c>
      <c r="J11" s="21" t="s">
        <v>198</v>
      </c>
      <c r="K11" s="19">
        <v>850</v>
      </c>
      <c r="L11" s="22">
        <v>2</v>
      </c>
      <c r="M11" s="8">
        <f t="shared" si="0"/>
        <v>800</v>
      </c>
      <c r="N11" s="75" t="s">
        <v>16</v>
      </c>
      <c r="O11" s="54">
        <v>0.12570000000000001</v>
      </c>
      <c r="P11" s="55">
        <f t="shared" si="1"/>
        <v>106.845</v>
      </c>
      <c r="Q11" s="58"/>
      <c r="R11" s="173"/>
      <c r="S11" s="5"/>
    </row>
    <row r="12" spans="1:34" ht="15.75" thickBot="1" x14ac:dyDescent="0.3">
      <c r="A12" s="45">
        <v>10</v>
      </c>
      <c r="B12" s="167"/>
      <c r="C12" s="23" t="s">
        <v>83</v>
      </c>
      <c r="D12" s="21" t="s">
        <v>84</v>
      </c>
      <c r="E12" s="21" t="s">
        <v>23</v>
      </c>
      <c r="F12" s="21" t="s">
        <v>85</v>
      </c>
      <c r="G12" s="6" t="s">
        <v>223</v>
      </c>
      <c r="H12" s="59" t="s">
        <v>222</v>
      </c>
      <c r="I12" s="77" t="s">
        <v>216</v>
      </c>
      <c r="J12" s="21" t="s">
        <v>22</v>
      </c>
      <c r="K12" s="19">
        <v>420</v>
      </c>
      <c r="L12" s="7">
        <v>1</v>
      </c>
      <c r="M12" s="8">
        <f t="shared" si="0"/>
        <v>400</v>
      </c>
      <c r="N12" s="85" t="s">
        <v>16</v>
      </c>
      <c r="O12" s="50">
        <v>2.81E-2</v>
      </c>
      <c r="P12" s="9">
        <f t="shared" si="1"/>
        <v>11.802</v>
      </c>
      <c r="Q12" s="10"/>
      <c r="R12" s="173"/>
      <c r="S12" s="5"/>
    </row>
    <row r="13" spans="1:34" s="164" customFormat="1" ht="15.75" thickBot="1" x14ac:dyDescent="0.3">
      <c r="A13" s="45">
        <v>11</v>
      </c>
      <c r="B13" s="167"/>
      <c r="C13" s="20" t="s">
        <v>277</v>
      </c>
      <c r="D13" s="12" t="s">
        <v>86</v>
      </c>
      <c r="E13" s="12" t="s">
        <v>87</v>
      </c>
      <c r="F13" s="12" t="s">
        <v>88</v>
      </c>
      <c r="G13" s="6" t="s">
        <v>224</v>
      </c>
      <c r="H13" s="59" t="s">
        <v>225</v>
      </c>
      <c r="I13" s="77" t="s">
        <v>216</v>
      </c>
      <c r="J13" s="21" t="s">
        <v>20</v>
      </c>
      <c r="K13" s="19">
        <v>420</v>
      </c>
      <c r="L13" s="158">
        <v>1</v>
      </c>
      <c r="M13" s="19">
        <f t="shared" si="0"/>
        <v>400</v>
      </c>
      <c r="N13" s="159" t="s">
        <v>16</v>
      </c>
      <c r="O13" s="160">
        <v>6.7000000000000004E-2</v>
      </c>
      <c r="P13" s="161">
        <f t="shared" si="1"/>
        <v>28.14</v>
      </c>
      <c r="Q13" s="162"/>
      <c r="R13" s="174"/>
      <c r="S13" s="163"/>
    </row>
    <row r="14" spans="1:34" ht="15.75" thickBot="1" x14ac:dyDescent="0.3">
      <c r="A14" s="45">
        <v>12</v>
      </c>
      <c r="B14" s="166"/>
      <c r="C14" s="99" t="s">
        <v>89</v>
      </c>
      <c r="D14" s="100" t="s">
        <v>90</v>
      </c>
      <c r="E14" s="100" t="s">
        <v>17</v>
      </c>
      <c r="F14" s="100" t="s">
        <v>91</v>
      </c>
      <c r="G14" s="101" t="s">
        <v>58</v>
      </c>
      <c r="H14" s="102" t="s">
        <v>226</v>
      </c>
      <c r="I14" s="103" t="s">
        <v>216</v>
      </c>
      <c r="J14" s="104" t="s">
        <v>199</v>
      </c>
      <c r="K14" s="105">
        <v>450</v>
      </c>
      <c r="L14" s="15">
        <v>1</v>
      </c>
      <c r="M14" s="106">
        <f t="shared" si="0"/>
        <v>400</v>
      </c>
      <c r="N14" s="78" t="s">
        <v>16</v>
      </c>
      <c r="O14" s="53">
        <v>1.5299999999999999E-2</v>
      </c>
      <c r="P14" s="16">
        <f t="shared" si="1"/>
        <v>6.8849999999999998</v>
      </c>
      <c r="Q14" s="17"/>
      <c r="R14" s="173"/>
      <c r="S14" s="5"/>
    </row>
    <row r="15" spans="1:34" ht="15.75" thickBot="1" x14ac:dyDescent="0.3">
      <c r="A15" s="45">
        <v>13</v>
      </c>
      <c r="B15" s="165" t="s">
        <v>24</v>
      </c>
      <c r="C15" s="95" t="s">
        <v>92</v>
      </c>
      <c r="D15" s="96" t="s">
        <v>93</v>
      </c>
      <c r="E15" s="96" t="s">
        <v>94</v>
      </c>
      <c r="F15" s="96" t="s">
        <v>95</v>
      </c>
      <c r="G15" s="97" t="s">
        <v>227</v>
      </c>
      <c r="H15" s="66" t="s">
        <v>228</v>
      </c>
      <c r="I15" s="73" t="s">
        <v>216</v>
      </c>
      <c r="J15" s="97" t="s">
        <v>200</v>
      </c>
      <c r="K15" s="98">
        <v>420</v>
      </c>
      <c r="L15" s="1">
        <v>1</v>
      </c>
      <c r="M15" s="2">
        <f t="shared" si="0"/>
        <v>400</v>
      </c>
      <c r="N15" s="107" t="s">
        <v>16</v>
      </c>
      <c r="O15" s="49">
        <v>2.3599999999999999E-2</v>
      </c>
      <c r="P15" s="3">
        <f t="shared" si="1"/>
        <v>9.911999999999999</v>
      </c>
      <c r="Q15" s="4"/>
      <c r="R15" s="173"/>
      <c r="S15" s="5"/>
    </row>
    <row r="16" spans="1:34" ht="15.75" thickBot="1" x14ac:dyDescent="0.3">
      <c r="A16" s="45">
        <v>14</v>
      </c>
      <c r="B16" s="167"/>
      <c r="C16" s="20" t="s">
        <v>96</v>
      </c>
      <c r="D16" s="21" t="s">
        <v>97</v>
      </c>
      <c r="E16" s="12" t="s">
        <v>98</v>
      </c>
      <c r="F16" s="21" t="s">
        <v>99</v>
      </c>
      <c r="G16" s="21" t="s">
        <v>100</v>
      </c>
      <c r="H16" s="69" t="s">
        <v>229</v>
      </c>
      <c r="I16" s="77" t="s">
        <v>216</v>
      </c>
      <c r="J16" s="6" t="s">
        <v>200</v>
      </c>
      <c r="K16" s="19">
        <v>420</v>
      </c>
      <c r="L16" s="22">
        <v>1</v>
      </c>
      <c r="M16" s="8">
        <f t="shared" si="0"/>
        <v>400</v>
      </c>
      <c r="N16" s="85" t="s">
        <v>16</v>
      </c>
      <c r="O16" s="50">
        <v>0.1888</v>
      </c>
      <c r="P16" s="9">
        <f t="shared" si="1"/>
        <v>79.295999999999992</v>
      </c>
      <c r="Q16" s="108"/>
      <c r="R16" s="173"/>
      <c r="S16" s="5"/>
    </row>
    <row r="17" spans="1:19" ht="15.75" thickBot="1" x14ac:dyDescent="0.3">
      <c r="A17" s="45">
        <v>15</v>
      </c>
      <c r="B17" s="166"/>
      <c r="C17" s="109" t="s">
        <v>101</v>
      </c>
      <c r="D17" s="104" t="s">
        <v>102</v>
      </c>
      <c r="E17" s="104" t="s">
        <v>276</v>
      </c>
      <c r="F17" s="104" t="s">
        <v>103</v>
      </c>
      <c r="G17" s="104" t="s">
        <v>230</v>
      </c>
      <c r="H17" s="14" t="s">
        <v>231</v>
      </c>
      <c r="I17" s="103" t="s">
        <v>216</v>
      </c>
      <c r="J17" s="101" t="s">
        <v>200</v>
      </c>
      <c r="K17" s="105">
        <v>420</v>
      </c>
      <c r="L17" s="42">
        <v>1</v>
      </c>
      <c r="M17" s="106">
        <f t="shared" si="0"/>
        <v>400</v>
      </c>
      <c r="N17" s="78" t="s">
        <v>16</v>
      </c>
      <c r="O17" s="63">
        <v>2.0299999999999999E-2</v>
      </c>
      <c r="P17" s="64">
        <f t="shared" si="1"/>
        <v>8.5259999999999998</v>
      </c>
      <c r="Q17" s="65"/>
      <c r="R17" s="173"/>
      <c r="S17" s="5"/>
    </row>
    <row r="18" spans="1:19" ht="15.75" thickBot="1" x14ac:dyDescent="0.3">
      <c r="A18" s="45">
        <v>16</v>
      </c>
      <c r="B18" s="121" t="s">
        <v>26</v>
      </c>
      <c r="C18" s="133" t="s">
        <v>104</v>
      </c>
      <c r="D18" s="134" t="s">
        <v>105</v>
      </c>
      <c r="E18" s="134" t="s">
        <v>106</v>
      </c>
      <c r="F18" s="134" t="s">
        <v>107</v>
      </c>
      <c r="G18" s="135" t="s">
        <v>108</v>
      </c>
      <c r="H18" s="136" t="s">
        <v>216</v>
      </c>
      <c r="I18" s="137" t="s">
        <v>216</v>
      </c>
      <c r="J18" s="135" t="s">
        <v>200</v>
      </c>
      <c r="K18" s="135">
        <v>420</v>
      </c>
      <c r="L18" s="127">
        <v>1</v>
      </c>
      <c r="M18" s="128">
        <f t="shared" si="0"/>
        <v>400</v>
      </c>
      <c r="N18" s="129" t="s">
        <v>232</v>
      </c>
      <c r="O18" s="130">
        <v>8.158E-2</v>
      </c>
      <c r="P18" s="131">
        <f t="shared" si="1"/>
        <v>34.263599999999997</v>
      </c>
      <c r="Q18" s="138"/>
      <c r="R18" s="179">
        <v>0.189</v>
      </c>
      <c r="S18" s="5"/>
    </row>
    <row r="19" spans="1:19" ht="15.75" thickBot="1" x14ac:dyDescent="0.3">
      <c r="A19" s="45">
        <v>17</v>
      </c>
      <c r="B19" s="121" t="s">
        <v>210</v>
      </c>
      <c r="C19" s="122" t="s">
        <v>109</v>
      </c>
      <c r="D19" s="123" t="s">
        <v>110</v>
      </c>
      <c r="E19" s="123" t="s">
        <v>25</v>
      </c>
      <c r="F19" s="123" t="s">
        <v>111</v>
      </c>
      <c r="G19" s="124" t="s">
        <v>236</v>
      </c>
      <c r="H19" s="125" t="s">
        <v>233</v>
      </c>
      <c r="I19" s="126" t="s">
        <v>216</v>
      </c>
      <c r="J19" s="124" t="s">
        <v>200</v>
      </c>
      <c r="K19" s="124">
        <v>850</v>
      </c>
      <c r="L19" s="127">
        <v>2</v>
      </c>
      <c r="M19" s="128">
        <f t="shared" si="0"/>
        <v>800</v>
      </c>
      <c r="N19" s="129" t="s">
        <v>16</v>
      </c>
      <c r="O19" s="130">
        <v>4.8399999999999999E-2</v>
      </c>
      <c r="P19" s="131">
        <f t="shared" si="1"/>
        <v>41.14</v>
      </c>
      <c r="Q19" s="132"/>
      <c r="R19" s="173"/>
      <c r="S19" s="5"/>
    </row>
    <row r="20" spans="1:19" ht="15.75" thickBot="1" x14ac:dyDescent="0.3">
      <c r="A20" s="45">
        <v>18</v>
      </c>
      <c r="B20" s="165" t="s">
        <v>211</v>
      </c>
      <c r="C20" s="95" t="s">
        <v>112</v>
      </c>
      <c r="D20" s="96" t="s">
        <v>113</v>
      </c>
      <c r="E20" s="96" t="s">
        <v>114</v>
      </c>
      <c r="F20" s="96" t="s">
        <v>115</v>
      </c>
      <c r="G20" s="97" t="s">
        <v>234</v>
      </c>
      <c r="H20" s="68" t="s">
        <v>235</v>
      </c>
      <c r="I20" s="110" t="s">
        <v>216</v>
      </c>
      <c r="J20" s="97" t="s">
        <v>200</v>
      </c>
      <c r="K20" s="97">
        <v>2100</v>
      </c>
      <c r="L20" s="1">
        <v>5</v>
      </c>
      <c r="M20" s="2">
        <f t="shared" si="0"/>
        <v>2000</v>
      </c>
      <c r="N20" s="72" t="s">
        <v>16</v>
      </c>
      <c r="O20" s="49">
        <v>5.1999999999999998E-3</v>
      </c>
      <c r="P20" s="3">
        <f t="shared" si="1"/>
        <v>10.92</v>
      </c>
      <c r="Q20" s="4"/>
      <c r="R20" s="173"/>
      <c r="S20" s="5"/>
    </row>
    <row r="21" spans="1:19" ht="15.75" thickBot="1" x14ac:dyDescent="0.3">
      <c r="A21" s="45">
        <v>19</v>
      </c>
      <c r="B21" s="167"/>
      <c r="C21" s="23" t="s">
        <v>116</v>
      </c>
      <c r="D21" s="21" t="s">
        <v>117</v>
      </c>
      <c r="E21" s="21" t="s">
        <v>118</v>
      </c>
      <c r="F21" s="21" t="s">
        <v>119</v>
      </c>
      <c r="G21" s="6" t="s">
        <v>237</v>
      </c>
      <c r="H21" s="59" t="s">
        <v>238</v>
      </c>
      <c r="I21" s="60" t="s">
        <v>216</v>
      </c>
      <c r="J21" s="6" t="s">
        <v>200</v>
      </c>
      <c r="K21" s="6">
        <v>420</v>
      </c>
      <c r="L21" s="7">
        <v>1</v>
      </c>
      <c r="M21" s="8">
        <f t="shared" si="0"/>
        <v>400</v>
      </c>
      <c r="N21" s="74" t="s">
        <v>16</v>
      </c>
      <c r="O21" s="50">
        <v>3.7900000000000003E-2</v>
      </c>
      <c r="P21" s="9">
        <f t="shared" si="1"/>
        <v>15.918000000000001</v>
      </c>
      <c r="Q21" s="10"/>
      <c r="R21" s="173"/>
      <c r="S21" s="5"/>
    </row>
    <row r="22" spans="1:19" ht="15.75" thickBot="1" x14ac:dyDescent="0.3">
      <c r="A22" s="45">
        <v>20</v>
      </c>
      <c r="B22" s="166"/>
      <c r="C22" s="113" t="s">
        <v>120</v>
      </c>
      <c r="D22" s="114" t="s">
        <v>121</v>
      </c>
      <c r="E22" s="114" t="s">
        <v>23</v>
      </c>
      <c r="F22" s="114" t="s">
        <v>122</v>
      </c>
      <c r="G22" s="115" t="s">
        <v>123</v>
      </c>
      <c r="H22" s="116"/>
      <c r="I22" s="117"/>
      <c r="J22" s="115" t="s">
        <v>200</v>
      </c>
      <c r="K22" s="115"/>
      <c r="L22" s="116">
        <v>1</v>
      </c>
      <c r="M22" s="118">
        <f t="shared" si="0"/>
        <v>400</v>
      </c>
      <c r="N22" s="119"/>
      <c r="O22" s="63"/>
      <c r="P22" s="64">
        <f t="shared" si="1"/>
        <v>0</v>
      </c>
      <c r="Q22" s="120"/>
      <c r="R22" s="179">
        <v>0.97699999999999998</v>
      </c>
      <c r="S22" s="5"/>
    </row>
    <row r="23" spans="1:19" ht="26.25" thickBot="1" x14ac:dyDescent="0.3">
      <c r="A23" s="45">
        <v>21</v>
      </c>
      <c r="B23" s="165" t="s">
        <v>27</v>
      </c>
      <c r="C23" s="95" t="s">
        <v>124</v>
      </c>
      <c r="D23" s="96" t="s">
        <v>125</v>
      </c>
      <c r="E23" s="96" t="s">
        <v>29</v>
      </c>
      <c r="F23" s="96" t="s">
        <v>126</v>
      </c>
      <c r="G23" s="97" t="s">
        <v>58</v>
      </c>
      <c r="H23" s="68" t="s">
        <v>239</v>
      </c>
      <c r="I23" s="110" t="s">
        <v>216</v>
      </c>
      <c r="J23" s="96" t="s">
        <v>28</v>
      </c>
      <c r="K23" s="98">
        <v>6100</v>
      </c>
      <c r="L23" s="98">
        <v>15</v>
      </c>
      <c r="M23" s="2">
        <f t="shared" si="0"/>
        <v>6000</v>
      </c>
      <c r="N23" s="107" t="s">
        <v>16</v>
      </c>
      <c r="O23" s="49">
        <v>1.4E-3</v>
      </c>
      <c r="P23" s="3">
        <f t="shared" si="1"/>
        <v>8.5399999999999991</v>
      </c>
      <c r="Q23" s="4"/>
      <c r="R23" s="173"/>
      <c r="S23" s="5"/>
    </row>
    <row r="24" spans="1:19" ht="15.75" thickBot="1" x14ac:dyDescent="0.3">
      <c r="A24" s="45">
        <v>22</v>
      </c>
      <c r="B24" s="167"/>
      <c r="C24" s="23" t="s">
        <v>127</v>
      </c>
      <c r="D24" s="21" t="s">
        <v>128</v>
      </c>
      <c r="E24" s="21" t="s">
        <v>29</v>
      </c>
      <c r="F24" s="21" t="s">
        <v>129</v>
      </c>
      <c r="G24" s="6" t="s">
        <v>58</v>
      </c>
      <c r="H24" s="59" t="s">
        <v>240</v>
      </c>
      <c r="I24" s="60" t="s">
        <v>216</v>
      </c>
      <c r="J24" s="21" t="s">
        <v>201</v>
      </c>
      <c r="K24" s="19">
        <v>1300</v>
      </c>
      <c r="L24" s="19">
        <v>3</v>
      </c>
      <c r="M24" s="8">
        <f t="shared" si="0"/>
        <v>1200</v>
      </c>
      <c r="N24" s="85" t="s">
        <v>16</v>
      </c>
      <c r="O24" s="50">
        <v>1.1000000000000001E-3</v>
      </c>
      <c r="P24" s="9">
        <f t="shared" si="1"/>
        <v>1.4300000000000002</v>
      </c>
      <c r="Q24" s="10"/>
      <c r="R24" s="173"/>
      <c r="S24" s="5"/>
    </row>
    <row r="25" spans="1:19" ht="15.75" thickBot="1" x14ac:dyDescent="0.3">
      <c r="A25" s="45">
        <v>23</v>
      </c>
      <c r="B25" s="167"/>
      <c r="C25" s="23" t="s">
        <v>130</v>
      </c>
      <c r="D25" s="21" t="s">
        <v>131</v>
      </c>
      <c r="E25" s="21" t="s">
        <v>29</v>
      </c>
      <c r="F25" s="21" t="s">
        <v>132</v>
      </c>
      <c r="G25" s="6" t="s">
        <v>58</v>
      </c>
      <c r="H25" s="59" t="s">
        <v>241</v>
      </c>
      <c r="I25" s="60" t="s">
        <v>216</v>
      </c>
      <c r="J25" s="21" t="s">
        <v>202</v>
      </c>
      <c r="K25" s="19">
        <v>1300</v>
      </c>
      <c r="L25" s="57">
        <v>3</v>
      </c>
      <c r="M25" s="8">
        <f t="shared" si="0"/>
        <v>1200</v>
      </c>
      <c r="N25" s="88" t="s">
        <v>16</v>
      </c>
      <c r="O25" s="61">
        <v>8.9999999999999998E-4</v>
      </c>
      <c r="P25" s="62">
        <f t="shared" si="1"/>
        <v>1.17</v>
      </c>
      <c r="Q25" s="67"/>
      <c r="R25" s="173"/>
      <c r="S25" s="5"/>
    </row>
    <row r="26" spans="1:19" ht="15.75" thickBot="1" x14ac:dyDescent="0.3">
      <c r="A26" s="45">
        <v>24</v>
      </c>
      <c r="B26" s="167"/>
      <c r="C26" s="23" t="s">
        <v>133</v>
      </c>
      <c r="D26" s="21" t="s">
        <v>134</v>
      </c>
      <c r="E26" s="21" t="s">
        <v>29</v>
      </c>
      <c r="F26" s="21" t="s">
        <v>135</v>
      </c>
      <c r="G26" s="6" t="s">
        <v>58</v>
      </c>
      <c r="H26" s="59" t="s">
        <v>242</v>
      </c>
      <c r="I26" s="60" t="s">
        <v>216</v>
      </c>
      <c r="J26" s="21" t="s">
        <v>203</v>
      </c>
      <c r="K26" s="19">
        <v>2500</v>
      </c>
      <c r="L26" s="19">
        <v>6</v>
      </c>
      <c r="M26" s="8">
        <f t="shared" si="0"/>
        <v>2400</v>
      </c>
      <c r="N26" s="85" t="s">
        <v>16</v>
      </c>
      <c r="O26" s="50">
        <v>1E-3</v>
      </c>
      <c r="P26" s="9">
        <f t="shared" si="1"/>
        <v>2.5</v>
      </c>
      <c r="Q26" s="10"/>
      <c r="R26" s="173"/>
      <c r="S26" s="5"/>
    </row>
    <row r="27" spans="1:19" ht="15.75" thickBot="1" x14ac:dyDescent="0.3">
      <c r="A27" s="45">
        <v>25</v>
      </c>
      <c r="B27" s="167"/>
      <c r="C27" s="23" t="s">
        <v>136</v>
      </c>
      <c r="D27" s="21" t="s">
        <v>137</v>
      </c>
      <c r="E27" s="21" t="s">
        <v>29</v>
      </c>
      <c r="F27" s="21" t="s">
        <v>138</v>
      </c>
      <c r="G27" s="6" t="s">
        <v>139</v>
      </c>
      <c r="H27" s="59" t="s">
        <v>243</v>
      </c>
      <c r="I27" s="60" t="s">
        <v>216</v>
      </c>
      <c r="J27" s="21" t="s">
        <v>204</v>
      </c>
      <c r="K27" s="19">
        <v>420</v>
      </c>
      <c r="L27" s="19">
        <v>1</v>
      </c>
      <c r="M27" s="8">
        <f t="shared" si="0"/>
        <v>400</v>
      </c>
      <c r="N27" s="85" t="s">
        <v>16</v>
      </c>
      <c r="O27" s="50">
        <v>1.38E-2</v>
      </c>
      <c r="P27" s="9">
        <f t="shared" si="1"/>
        <v>5.7960000000000003</v>
      </c>
      <c r="Q27" s="10"/>
      <c r="R27" s="173"/>
      <c r="S27" s="5"/>
    </row>
    <row r="28" spans="1:19" ht="15.75" thickBot="1" x14ac:dyDescent="0.3">
      <c r="A28" s="45">
        <v>26</v>
      </c>
      <c r="B28" s="167"/>
      <c r="C28" s="23" t="s">
        <v>140</v>
      </c>
      <c r="D28" s="21" t="s">
        <v>141</v>
      </c>
      <c r="E28" s="21" t="s">
        <v>142</v>
      </c>
      <c r="F28" s="21" t="s">
        <v>143</v>
      </c>
      <c r="G28" s="6" t="s">
        <v>244</v>
      </c>
      <c r="H28" s="59" t="s">
        <v>245</v>
      </c>
      <c r="I28" s="60" t="s">
        <v>216</v>
      </c>
      <c r="J28" s="21" t="s">
        <v>205</v>
      </c>
      <c r="K28" s="19">
        <v>850</v>
      </c>
      <c r="L28" s="19">
        <v>2</v>
      </c>
      <c r="M28" s="8">
        <f t="shared" si="0"/>
        <v>800</v>
      </c>
      <c r="N28" s="85" t="s">
        <v>16</v>
      </c>
      <c r="O28" s="50">
        <v>3.0700000000000002E-2</v>
      </c>
      <c r="P28" s="9">
        <f t="shared" si="1"/>
        <v>26.095000000000002</v>
      </c>
      <c r="Q28" s="10"/>
      <c r="R28" s="173"/>
      <c r="S28" s="5"/>
    </row>
    <row r="29" spans="1:19" ht="15.75" thickBot="1" x14ac:dyDescent="0.3">
      <c r="A29" s="45">
        <v>27</v>
      </c>
      <c r="B29" s="167"/>
      <c r="C29" s="23" t="s">
        <v>144</v>
      </c>
      <c r="D29" s="21" t="s">
        <v>145</v>
      </c>
      <c r="E29" s="21" t="s">
        <v>142</v>
      </c>
      <c r="F29" s="21" t="s">
        <v>146</v>
      </c>
      <c r="G29" s="6" t="s">
        <v>139</v>
      </c>
      <c r="H29" s="59" t="s">
        <v>270</v>
      </c>
      <c r="I29" s="11" t="s">
        <v>269</v>
      </c>
      <c r="J29" s="21" t="s">
        <v>206</v>
      </c>
      <c r="K29" s="19">
        <v>420</v>
      </c>
      <c r="L29" s="19">
        <v>1</v>
      </c>
      <c r="M29" s="8">
        <f t="shared" si="0"/>
        <v>400</v>
      </c>
      <c r="N29" s="85" t="s">
        <v>16</v>
      </c>
      <c r="O29" s="50">
        <v>8.2400000000000001E-2</v>
      </c>
      <c r="P29" s="9">
        <f t="shared" si="1"/>
        <v>34.607999999999997</v>
      </c>
      <c r="Q29" s="10"/>
      <c r="R29" s="173"/>
      <c r="S29" s="5"/>
    </row>
    <row r="30" spans="1:19" ht="15.75" thickBot="1" x14ac:dyDescent="0.3">
      <c r="A30" s="45">
        <v>28</v>
      </c>
      <c r="B30" s="167"/>
      <c r="C30" s="23" t="s">
        <v>147</v>
      </c>
      <c r="D30" s="21" t="s">
        <v>148</v>
      </c>
      <c r="E30" s="21" t="s">
        <v>21</v>
      </c>
      <c r="F30" s="21" t="s">
        <v>149</v>
      </c>
      <c r="G30" s="6" t="s">
        <v>247</v>
      </c>
      <c r="H30" s="59" t="s">
        <v>246</v>
      </c>
      <c r="I30" s="60" t="s">
        <v>216</v>
      </c>
      <c r="J30" s="21" t="s">
        <v>207</v>
      </c>
      <c r="K30" s="19">
        <v>500</v>
      </c>
      <c r="L30" s="19">
        <v>1</v>
      </c>
      <c r="M30" s="8">
        <f t="shared" si="0"/>
        <v>400</v>
      </c>
      <c r="N30" s="85" t="s">
        <v>16</v>
      </c>
      <c r="O30" s="50">
        <v>2.8E-3</v>
      </c>
      <c r="P30" s="9">
        <f t="shared" si="1"/>
        <v>1.4</v>
      </c>
      <c r="Q30" s="10"/>
      <c r="R30" s="173"/>
      <c r="S30" s="5"/>
    </row>
    <row r="31" spans="1:19" ht="15.75" thickBot="1" x14ac:dyDescent="0.3">
      <c r="A31" s="45">
        <v>29</v>
      </c>
      <c r="B31" s="166"/>
      <c r="C31" s="99" t="s">
        <v>273</v>
      </c>
      <c r="D31" s="104" t="s">
        <v>150</v>
      </c>
      <c r="E31" s="104" t="s">
        <v>29</v>
      </c>
      <c r="F31" s="104" t="s">
        <v>151</v>
      </c>
      <c r="G31" s="101" t="s">
        <v>58</v>
      </c>
      <c r="H31" s="102" t="s">
        <v>248</v>
      </c>
      <c r="I31" s="111" t="s">
        <v>216</v>
      </c>
      <c r="J31" s="104" t="s">
        <v>208</v>
      </c>
      <c r="K31" s="105">
        <v>3300</v>
      </c>
      <c r="L31" s="15">
        <v>8</v>
      </c>
      <c r="M31" s="106">
        <f t="shared" si="0"/>
        <v>3200</v>
      </c>
      <c r="N31" s="112" t="s">
        <v>16</v>
      </c>
      <c r="O31" s="53">
        <v>1.5E-3</v>
      </c>
      <c r="P31" s="16">
        <f>O31*K31</f>
        <v>4.95</v>
      </c>
      <c r="Q31" s="17"/>
      <c r="R31" s="173"/>
      <c r="S31" s="5"/>
    </row>
    <row r="32" spans="1:19" ht="15.75" thickBot="1" x14ac:dyDescent="0.3">
      <c r="A32" s="45">
        <v>30</v>
      </c>
      <c r="B32" s="121" t="s">
        <v>212</v>
      </c>
      <c r="C32" s="133" t="s">
        <v>152</v>
      </c>
      <c r="D32" s="134" t="s">
        <v>153</v>
      </c>
      <c r="E32" s="134" t="s">
        <v>23</v>
      </c>
      <c r="F32" s="134" t="s">
        <v>154</v>
      </c>
      <c r="G32" s="135" t="s">
        <v>249</v>
      </c>
      <c r="H32" s="136" t="s">
        <v>216</v>
      </c>
      <c r="I32" s="137" t="s">
        <v>216</v>
      </c>
      <c r="J32" s="135"/>
      <c r="K32" s="135">
        <v>420</v>
      </c>
      <c r="L32" s="127">
        <v>1</v>
      </c>
      <c r="M32" s="128">
        <f t="shared" si="0"/>
        <v>400</v>
      </c>
      <c r="N32" s="149" t="s">
        <v>232</v>
      </c>
      <c r="O32" s="130">
        <v>0.49325000000000002</v>
      </c>
      <c r="P32" s="131">
        <f t="shared" si="1"/>
        <v>207.16500000000002</v>
      </c>
      <c r="Q32" s="132"/>
      <c r="R32" s="179">
        <v>0.441</v>
      </c>
      <c r="S32" s="5"/>
    </row>
    <row r="33" spans="1:19" ht="26.25" thickBot="1" x14ac:dyDescent="0.3">
      <c r="A33" s="45">
        <v>31</v>
      </c>
      <c r="B33" s="165" t="s">
        <v>30</v>
      </c>
      <c r="C33" s="139" t="s">
        <v>155</v>
      </c>
      <c r="D33" s="140" t="s">
        <v>31</v>
      </c>
      <c r="E33" s="140"/>
      <c r="F33" s="140" t="s">
        <v>156</v>
      </c>
      <c r="G33" s="141"/>
      <c r="H33" s="142"/>
      <c r="I33" s="143"/>
      <c r="J33" s="141"/>
      <c r="K33" s="141"/>
      <c r="L33" s="142">
        <v>1</v>
      </c>
      <c r="M33" s="144">
        <f>L33*900</f>
        <v>900</v>
      </c>
      <c r="N33" s="178" t="s">
        <v>281</v>
      </c>
      <c r="O33" s="177">
        <v>21.26</v>
      </c>
      <c r="P33" s="3">
        <f>O33*M33</f>
        <v>19134</v>
      </c>
      <c r="Q33" s="4"/>
      <c r="R33" s="179">
        <v>21.26</v>
      </c>
      <c r="S33" s="5"/>
    </row>
    <row r="34" spans="1:19" ht="15.75" thickBot="1" x14ac:dyDescent="0.3">
      <c r="A34" s="45">
        <v>32</v>
      </c>
      <c r="B34" s="167"/>
      <c r="C34" s="23" t="s">
        <v>157</v>
      </c>
      <c r="D34" s="21" t="s">
        <v>32</v>
      </c>
      <c r="E34" s="21" t="s">
        <v>158</v>
      </c>
      <c r="F34" s="21" t="s">
        <v>159</v>
      </c>
      <c r="G34" s="6" t="s">
        <v>160</v>
      </c>
      <c r="H34" s="59" t="s">
        <v>250</v>
      </c>
      <c r="I34" s="60" t="s">
        <v>216</v>
      </c>
      <c r="J34" s="6" t="s">
        <v>200</v>
      </c>
      <c r="K34" s="6">
        <v>420</v>
      </c>
      <c r="L34" s="7">
        <v>1</v>
      </c>
      <c r="M34" s="8">
        <f t="shared" si="0"/>
        <v>400</v>
      </c>
      <c r="N34" s="74" t="s">
        <v>16</v>
      </c>
      <c r="O34" s="50">
        <v>0.2868</v>
      </c>
      <c r="P34" s="9">
        <f t="shared" si="1"/>
        <v>120.456</v>
      </c>
      <c r="Q34" s="10"/>
      <c r="R34" s="173"/>
      <c r="S34" s="5"/>
    </row>
    <row r="35" spans="1:19" ht="15.75" thickBot="1" x14ac:dyDescent="0.3">
      <c r="A35" s="45">
        <v>33</v>
      </c>
      <c r="B35" s="167"/>
      <c r="C35" s="94" t="s">
        <v>271</v>
      </c>
      <c r="D35" s="90" t="s">
        <v>33</v>
      </c>
      <c r="E35" s="90" t="s">
        <v>161</v>
      </c>
      <c r="F35" s="90" t="s">
        <v>162</v>
      </c>
      <c r="G35" s="91" t="s">
        <v>163</v>
      </c>
      <c r="H35" s="92" t="s">
        <v>216</v>
      </c>
      <c r="I35" s="93" t="s">
        <v>216</v>
      </c>
      <c r="J35" s="91" t="s">
        <v>200</v>
      </c>
      <c r="K35" s="91">
        <v>420</v>
      </c>
      <c r="L35" s="7">
        <v>1</v>
      </c>
      <c r="M35" s="8">
        <f t="shared" si="0"/>
        <v>400</v>
      </c>
      <c r="N35" s="74" t="s">
        <v>272</v>
      </c>
      <c r="O35" s="50">
        <v>1</v>
      </c>
      <c r="P35" s="9">
        <f t="shared" si="1"/>
        <v>420</v>
      </c>
      <c r="Q35" s="10"/>
      <c r="R35" s="179">
        <v>2.8347000000000002</v>
      </c>
      <c r="S35" s="5"/>
    </row>
    <row r="36" spans="1:19" ht="15.75" thickBot="1" x14ac:dyDescent="0.3">
      <c r="A36" s="45">
        <v>34</v>
      </c>
      <c r="B36" s="167"/>
      <c r="C36" s="89" t="s">
        <v>164</v>
      </c>
      <c r="D36" s="90" t="s">
        <v>34</v>
      </c>
      <c r="E36" s="90" t="s">
        <v>158</v>
      </c>
      <c r="F36" s="90" t="s">
        <v>165</v>
      </c>
      <c r="G36" s="91" t="s">
        <v>166</v>
      </c>
      <c r="H36" s="92" t="s">
        <v>216</v>
      </c>
      <c r="I36" s="93" t="s">
        <v>216</v>
      </c>
      <c r="J36" s="91" t="s">
        <v>200</v>
      </c>
      <c r="K36" s="91">
        <v>420</v>
      </c>
      <c r="L36" s="40">
        <v>1</v>
      </c>
      <c r="M36" s="8">
        <f t="shared" si="0"/>
        <v>400</v>
      </c>
      <c r="N36" s="86" t="s">
        <v>272</v>
      </c>
      <c r="O36" s="87">
        <v>5</v>
      </c>
      <c r="P36" s="52">
        <f t="shared" si="1"/>
        <v>2100</v>
      </c>
      <c r="Q36" s="13"/>
      <c r="R36" s="179">
        <v>2.7559999999999998</v>
      </c>
      <c r="S36" s="5"/>
    </row>
    <row r="37" spans="1:19" ht="15.75" thickBot="1" x14ac:dyDescent="0.3">
      <c r="A37" s="45">
        <v>35</v>
      </c>
      <c r="B37" s="167"/>
      <c r="C37" s="23" t="s">
        <v>167</v>
      </c>
      <c r="D37" s="21" t="s">
        <v>168</v>
      </c>
      <c r="E37" s="12" t="s">
        <v>169</v>
      </c>
      <c r="F37" s="21" t="s">
        <v>170</v>
      </c>
      <c r="G37" s="6" t="s">
        <v>171</v>
      </c>
      <c r="H37" s="59" t="s">
        <v>251</v>
      </c>
      <c r="I37" s="60" t="s">
        <v>216</v>
      </c>
      <c r="J37" s="6" t="s">
        <v>200</v>
      </c>
      <c r="K37" s="6">
        <v>420</v>
      </c>
      <c r="L37" s="7">
        <v>1</v>
      </c>
      <c r="M37" s="8">
        <f t="shared" si="0"/>
        <v>400</v>
      </c>
      <c r="N37" s="85" t="s">
        <v>16</v>
      </c>
      <c r="O37" s="50">
        <v>0.85660000000000003</v>
      </c>
      <c r="P37" s="9">
        <f t="shared" si="1"/>
        <v>359.77199999999999</v>
      </c>
      <c r="Q37" s="10"/>
      <c r="R37" s="173"/>
      <c r="S37" s="5"/>
    </row>
    <row r="38" spans="1:19" ht="15.75" thickBot="1" x14ac:dyDescent="0.3">
      <c r="A38" s="45">
        <v>36</v>
      </c>
      <c r="B38" s="167"/>
      <c r="C38" s="23" t="s">
        <v>172</v>
      </c>
      <c r="D38" s="21" t="s">
        <v>36</v>
      </c>
      <c r="E38" s="21" t="s">
        <v>158</v>
      </c>
      <c r="F38" s="21" t="s">
        <v>173</v>
      </c>
      <c r="G38" s="6" t="s">
        <v>252</v>
      </c>
      <c r="H38" s="59" t="s">
        <v>253</v>
      </c>
      <c r="I38" s="60" t="s">
        <v>216</v>
      </c>
      <c r="J38" s="6" t="s">
        <v>200</v>
      </c>
      <c r="K38" s="6">
        <v>420</v>
      </c>
      <c r="L38" s="7">
        <v>1</v>
      </c>
      <c r="M38" s="8">
        <f t="shared" si="0"/>
        <v>400</v>
      </c>
      <c r="N38" s="85" t="s">
        <v>16</v>
      </c>
      <c r="O38" s="50">
        <v>0.18229999999999999</v>
      </c>
      <c r="P38" s="9">
        <f t="shared" si="1"/>
        <v>76.566000000000003</v>
      </c>
      <c r="Q38" s="10"/>
      <c r="R38" s="173"/>
      <c r="S38" s="5"/>
    </row>
    <row r="39" spans="1:19" ht="15.75" thickBot="1" x14ac:dyDescent="0.3">
      <c r="A39" s="45">
        <v>37</v>
      </c>
      <c r="B39" s="166"/>
      <c r="C39" s="99" t="s">
        <v>255</v>
      </c>
      <c r="D39" s="104" t="s">
        <v>35</v>
      </c>
      <c r="E39" s="100" t="s">
        <v>254</v>
      </c>
      <c r="F39" s="104" t="s">
        <v>174</v>
      </c>
      <c r="G39" s="101" t="s">
        <v>256</v>
      </c>
      <c r="H39" s="102" t="s">
        <v>257</v>
      </c>
      <c r="I39" s="111" t="s">
        <v>216</v>
      </c>
      <c r="J39" s="101"/>
      <c r="K39" s="101">
        <v>420</v>
      </c>
      <c r="L39" s="42">
        <v>1</v>
      </c>
      <c r="M39" s="106">
        <f t="shared" si="0"/>
        <v>400</v>
      </c>
      <c r="N39" s="145" t="s">
        <v>16</v>
      </c>
      <c r="O39" s="146">
        <v>0.11550000000000001</v>
      </c>
      <c r="P39" s="147">
        <f t="shared" si="1"/>
        <v>48.510000000000005</v>
      </c>
      <c r="Q39" s="148"/>
      <c r="R39" s="173"/>
      <c r="S39" s="5"/>
    </row>
    <row r="40" spans="1:19" ht="15.75" thickBot="1" x14ac:dyDescent="0.3">
      <c r="A40" s="45">
        <v>38</v>
      </c>
      <c r="B40" s="165" t="s">
        <v>213</v>
      </c>
      <c r="C40" s="152" t="s">
        <v>175</v>
      </c>
      <c r="D40" s="140" t="s">
        <v>176</v>
      </c>
      <c r="E40" s="140" t="s">
        <v>23</v>
      </c>
      <c r="F40" s="140" t="s">
        <v>177</v>
      </c>
      <c r="G40" s="140"/>
      <c r="H40" s="142"/>
      <c r="I40" s="141"/>
      <c r="J40" s="141"/>
      <c r="K40" s="141"/>
      <c r="L40" s="1">
        <v>1</v>
      </c>
      <c r="M40" s="2">
        <f t="shared" si="0"/>
        <v>400</v>
      </c>
      <c r="N40" s="153"/>
      <c r="O40" s="49"/>
      <c r="P40" s="3">
        <f t="shared" si="1"/>
        <v>0</v>
      </c>
      <c r="Q40" s="154"/>
      <c r="R40" s="179" t="s">
        <v>279</v>
      </c>
      <c r="S40" s="5"/>
    </row>
    <row r="41" spans="1:19" ht="26.25" thickBot="1" x14ac:dyDescent="0.3">
      <c r="A41" s="45">
        <v>39</v>
      </c>
      <c r="B41" s="166"/>
      <c r="C41" s="155" t="s">
        <v>178</v>
      </c>
      <c r="D41" s="114" t="s">
        <v>179</v>
      </c>
      <c r="E41" s="114" t="s">
        <v>23</v>
      </c>
      <c r="F41" s="114" t="s">
        <v>180</v>
      </c>
      <c r="G41" s="114"/>
      <c r="H41" s="116"/>
      <c r="I41" s="115"/>
      <c r="J41" s="115"/>
      <c r="K41" s="115"/>
      <c r="L41" s="15">
        <v>1</v>
      </c>
      <c r="M41" s="106">
        <f t="shared" si="0"/>
        <v>400</v>
      </c>
      <c r="N41" s="176" t="s">
        <v>280</v>
      </c>
      <c r="O41" s="177">
        <v>0.86619999999999997</v>
      </c>
      <c r="P41" s="16">
        <f>O41*M41</f>
        <v>346.47999999999996</v>
      </c>
      <c r="Q41" s="156"/>
      <c r="R41" s="179">
        <v>0.86619999999999997</v>
      </c>
      <c r="S41" s="5"/>
    </row>
    <row r="42" spans="1:19" ht="15.75" thickBot="1" x14ac:dyDescent="0.3">
      <c r="A42" s="45">
        <v>40</v>
      </c>
      <c r="B42" s="165" t="s">
        <v>37</v>
      </c>
      <c r="C42" s="150" t="s">
        <v>181</v>
      </c>
      <c r="D42" s="96" t="s">
        <v>182</v>
      </c>
      <c r="E42" s="96" t="s">
        <v>183</v>
      </c>
      <c r="F42" s="96" t="s">
        <v>184</v>
      </c>
      <c r="G42" s="97" t="s">
        <v>185</v>
      </c>
      <c r="H42" s="18" t="s">
        <v>274</v>
      </c>
      <c r="I42" s="97" t="s">
        <v>275</v>
      </c>
      <c r="J42" s="97" t="s">
        <v>200</v>
      </c>
      <c r="K42" s="97">
        <v>420</v>
      </c>
      <c r="L42" s="1">
        <v>1</v>
      </c>
      <c r="M42" s="2">
        <f t="shared" si="0"/>
        <v>400</v>
      </c>
      <c r="N42" s="107" t="s">
        <v>16</v>
      </c>
      <c r="O42" s="49">
        <v>0.12889999999999999</v>
      </c>
      <c r="P42" s="3">
        <f t="shared" si="1"/>
        <v>54.137999999999991</v>
      </c>
      <c r="Q42" s="4"/>
      <c r="R42" s="173"/>
      <c r="S42" s="5"/>
    </row>
    <row r="43" spans="1:19" ht="15.75" thickBot="1" x14ac:dyDescent="0.3">
      <c r="A43" s="45">
        <v>41</v>
      </c>
      <c r="B43" s="167"/>
      <c r="C43" s="71" t="s">
        <v>38</v>
      </c>
      <c r="D43" s="21" t="s">
        <v>186</v>
      </c>
      <c r="E43" s="21" t="s">
        <v>187</v>
      </c>
      <c r="F43" s="21" t="s">
        <v>188</v>
      </c>
      <c r="G43" s="21" t="s">
        <v>39</v>
      </c>
      <c r="H43" s="22" t="s">
        <v>258</v>
      </c>
      <c r="I43" s="60" t="s">
        <v>216</v>
      </c>
      <c r="J43" s="6" t="s">
        <v>200</v>
      </c>
      <c r="K43" s="6">
        <v>850</v>
      </c>
      <c r="L43" s="7">
        <v>2</v>
      </c>
      <c r="M43" s="8">
        <f t="shared" si="0"/>
        <v>800</v>
      </c>
      <c r="N43" s="85" t="s">
        <v>16</v>
      </c>
      <c r="O43" s="50">
        <v>7.0599999999999996E-2</v>
      </c>
      <c r="P43" s="9">
        <f t="shared" si="1"/>
        <v>60.01</v>
      </c>
      <c r="Q43" s="10"/>
      <c r="R43" s="173"/>
      <c r="S43" s="5"/>
    </row>
    <row r="44" spans="1:19" ht="15.75" thickBot="1" x14ac:dyDescent="0.3">
      <c r="A44" s="45">
        <v>42</v>
      </c>
      <c r="B44" s="167"/>
      <c r="C44" s="157" t="s">
        <v>189</v>
      </c>
      <c r="D44" s="12" t="s">
        <v>190</v>
      </c>
      <c r="E44" s="12" t="s">
        <v>191</v>
      </c>
      <c r="F44" s="12" t="s">
        <v>192</v>
      </c>
      <c r="G44" s="12" t="s">
        <v>259</v>
      </c>
      <c r="H44" s="22" t="s">
        <v>260</v>
      </c>
      <c r="I44" s="60" t="s">
        <v>216</v>
      </c>
      <c r="J44" s="6" t="s">
        <v>200</v>
      </c>
      <c r="K44" s="6">
        <v>440</v>
      </c>
      <c r="L44" s="7">
        <v>1</v>
      </c>
      <c r="M44" s="8">
        <f t="shared" si="0"/>
        <v>400</v>
      </c>
      <c r="N44" s="85" t="s">
        <v>16</v>
      </c>
      <c r="O44" s="50">
        <v>1.8800000000000001E-2</v>
      </c>
      <c r="P44" s="9">
        <f t="shared" si="1"/>
        <v>8.2720000000000002</v>
      </c>
      <c r="Q44" s="10"/>
      <c r="R44" s="173"/>
      <c r="S44" s="5"/>
    </row>
    <row r="45" spans="1:19" ht="15.75" thickBot="1" x14ac:dyDescent="0.3">
      <c r="A45" s="45">
        <v>43</v>
      </c>
      <c r="B45" s="167"/>
      <c r="C45" s="25" t="s">
        <v>43</v>
      </c>
      <c r="D45" s="26" t="s">
        <v>193</v>
      </c>
      <c r="E45" s="26" t="s">
        <v>44</v>
      </c>
      <c r="F45" s="27" t="s">
        <v>44</v>
      </c>
      <c r="G45" s="28"/>
      <c r="H45" s="28"/>
      <c r="I45" s="28"/>
      <c r="J45" s="28"/>
      <c r="K45" s="28"/>
      <c r="L45" s="29">
        <v>7</v>
      </c>
      <c r="M45" s="8">
        <f t="shared" si="0"/>
        <v>2800</v>
      </c>
      <c r="N45" s="28"/>
      <c r="O45" s="30"/>
      <c r="P45" s="30">
        <f t="shared" si="1"/>
        <v>0</v>
      </c>
      <c r="Q45" s="31" t="s">
        <v>42</v>
      </c>
      <c r="R45" s="173"/>
      <c r="S45" s="5"/>
    </row>
    <row r="46" spans="1:19" ht="15.75" thickBot="1" x14ac:dyDescent="0.3">
      <c r="A46" s="45">
        <v>44</v>
      </c>
      <c r="B46" s="166"/>
      <c r="C46" s="32" t="s">
        <v>40</v>
      </c>
      <c r="D46" s="33" t="s">
        <v>194</v>
      </c>
      <c r="E46" s="81" t="s">
        <v>41</v>
      </c>
      <c r="F46" s="82" t="s">
        <v>41</v>
      </c>
      <c r="G46" s="34"/>
      <c r="H46" s="34"/>
      <c r="I46" s="34"/>
      <c r="J46" s="34"/>
      <c r="K46" s="34"/>
      <c r="L46" s="35">
        <v>6</v>
      </c>
      <c r="M46" s="151">
        <f t="shared" si="0"/>
        <v>2400</v>
      </c>
      <c r="N46" s="43"/>
      <c r="O46" s="83"/>
      <c r="P46" s="83">
        <f t="shared" si="1"/>
        <v>0</v>
      </c>
      <c r="Q46" s="36" t="s">
        <v>42</v>
      </c>
      <c r="R46" s="175"/>
      <c r="S46" s="5"/>
    </row>
    <row r="47" spans="1:19" ht="15.75" thickBot="1" x14ac:dyDescent="0.3">
      <c r="A47"/>
      <c r="L47" s="180" t="s">
        <v>45</v>
      </c>
      <c r="M47" s="181"/>
      <c r="N47" s="181"/>
      <c r="O47" s="181"/>
      <c r="P47" s="182">
        <f>SUM(P3:P46)</f>
        <v>23697.599599999994</v>
      </c>
      <c r="R47" s="5"/>
      <c r="S47" s="5"/>
    </row>
    <row r="48" spans="1:19" ht="15.75" thickBot="1" x14ac:dyDescent="0.3">
      <c r="A48"/>
      <c r="L48" s="183" t="s">
        <v>46</v>
      </c>
      <c r="M48" s="184"/>
      <c r="N48" s="184"/>
      <c r="O48" s="184"/>
      <c r="P48" s="185">
        <f>P47/400</f>
        <v>59.243998999999988</v>
      </c>
      <c r="R48" s="5"/>
      <c r="S48" s="5"/>
    </row>
    <row r="49" spans="1:19" x14ac:dyDescent="0.25">
      <c r="A49"/>
      <c r="R49" s="5"/>
      <c r="S49" s="5"/>
    </row>
    <row r="50" spans="1:19" x14ac:dyDescent="0.25">
      <c r="A50"/>
      <c r="R50" s="5"/>
      <c r="S50" s="5"/>
    </row>
    <row r="51" spans="1:19" x14ac:dyDescent="0.25">
      <c r="A51"/>
      <c r="R51" s="5"/>
      <c r="S51" s="5"/>
    </row>
    <row r="52" spans="1:19" x14ac:dyDescent="0.25">
      <c r="A52"/>
      <c r="R52" s="5"/>
      <c r="S52" s="5"/>
    </row>
    <row r="53" spans="1:19" x14ac:dyDescent="0.25">
      <c r="A53"/>
      <c r="R53" s="5"/>
      <c r="S53" s="5"/>
    </row>
    <row r="54" spans="1:19" x14ac:dyDescent="0.25">
      <c r="A54"/>
      <c r="R54" s="5"/>
      <c r="S54" s="5"/>
    </row>
    <row r="55" spans="1:19" x14ac:dyDescent="0.25">
      <c r="A55"/>
      <c r="R55" s="5"/>
      <c r="S55" s="5"/>
    </row>
    <row r="56" spans="1:19" ht="15.75" customHeight="1" x14ac:dyDescent="0.25">
      <c r="A56"/>
      <c r="R56" s="5"/>
      <c r="S56" s="5"/>
    </row>
    <row r="57" spans="1:19" x14ac:dyDescent="0.25">
      <c r="A57"/>
      <c r="R57" s="5"/>
      <c r="S57" s="5"/>
    </row>
    <row r="58" spans="1:19" x14ac:dyDescent="0.25">
      <c r="A58"/>
      <c r="R58" s="5"/>
      <c r="S58" s="5"/>
    </row>
    <row r="59" spans="1:19" x14ac:dyDescent="0.25">
      <c r="A59"/>
      <c r="R59" s="5"/>
      <c r="S59" s="5"/>
    </row>
    <row r="60" spans="1:19" x14ac:dyDescent="0.25">
      <c r="A60"/>
      <c r="R60" s="5"/>
      <c r="S60" s="5"/>
    </row>
    <row r="61" spans="1:19" x14ac:dyDescent="0.25">
      <c r="A61"/>
      <c r="R61" s="5"/>
      <c r="S61" s="5"/>
    </row>
    <row r="62" spans="1:19" x14ac:dyDescent="0.25">
      <c r="H62" s="80"/>
      <c r="Q62" s="41"/>
    </row>
    <row r="63" spans="1:19" x14ac:dyDescent="0.25">
      <c r="H63" s="80"/>
      <c r="Q63" s="41"/>
    </row>
  </sheetData>
  <mergeCells count="11">
    <mergeCell ref="R1:AH1"/>
    <mergeCell ref="B40:B41"/>
    <mergeCell ref="B42:B46"/>
    <mergeCell ref="L47:O47"/>
    <mergeCell ref="L48:O48"/>
    <mergeCell ref="A1:Q1"/>
    <mergeCell ref="B3:B14"/>
    <mergeCell ref="B15:B17"/>
    <mergeCell ref="B20:B22"/>
    <mergeCell ref="B23:B31"/>
    <mergeCell ref="B33:B39"/>
  </mergeCells>
  <conditionalFormatting sqref="Q41">
    <cfRule type="dataBar" priority="3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{301945FE-B701-4118-A9C3-5DA9DF529466}</x14:id>
        </ext>
      </extLst>
    </cfRule>
  </conditionalFormatting>
  <conditionalFormatting sqref="Q18">
    <cfRule type="dataBar" priority="3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{C4FABE8D-C538-4F8C-AF3D-D761B6945538}</x14:id>
        </ext>
      </extLst>
    </cfRule>
  </conditionalFormatting>
  <conditionalFormatting sqref="Q13">
    <cfRule type="dataBar" priority="3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{95C28DBC-1CBC-4CC5-8B31-E70202137348}</x14:id>
        </ext>
      </extLst>
    </cfRule>
  </conditionalFormatting>
  <conditionalFormatting sqref="N3:N5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{D0D7514C-12FE-4A4F-8D11-1841726592C8}</x14:id>
        </ext>
      </extLst>
    </cfRule>
  </conditionalFormatting>
  <conditionalFormatting sqref="N20:N22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{F0B90621-6DA6-4516-A516-05C42ACBDF1D}</x14:id>
        </ext>
      </extLst>
    </cfRule>
  </conditionalFormatting>
  <conditionalFormatting sqref="N31:N35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{3534E561-107E-40A4-8165-E983FF420B68}</x14:id>
        </ext>
      </extLst>
    </cfRule>
  </conditionalFormatting>
  <conditionalFormatting sqref="L3:L12">
    <cfRule type="colorScale" priority="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3:L44 M3:M44">
    <cfRule type="colorScale" priority="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3:P44">
    <cfRule type="dataBar" priority="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{CC5A7198-6EFD-4BBD-B2B4-FEA92BA29842}</x14:id>
        </ext>
      </extLst>
    </cfRule>
  </conditionalFormatting>
  <conditionalFormatting sqref="L46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45:M46 L46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45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45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46">
    <cfRule type="dataBar" priority="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{304A851A-7DAF-49E6-8C47-8EA0BA412C19}</x14:id>
        </ext>
      </extLst>
    </cfRule>
  </conditionalFormatting>
  <conditionalFormatting sqref="Q45">
    <cfRule type="dataBar" priority="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{BC971A51-5923-4FF3-807E-8A8E4E3C254D}</x14:id>
        </ext>
      </extLst>
    </cfRule>
  </conditionalFormatting>
  <conditionalFormatting sqref="P48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{BAC096B0-B2C5-45C8-B11B-812CE028723D}</x14:id>
        </ext>
      </extLst>
    </cfRule>
  </conditionalFormatting>
  <hyperlinks>
    <hyperlink ref="N3" r:id="rId1" xr:uid="{00000000-0004-0000-0000-000000000000}"/>
    <hyperlink ref="N4" r:id="rId2" xr:uid="{00000000-0004-0000-0000-000001000000}"/>
    <hyperlink ref="N5" r:id="rId3" xr:uid="{00000000-0004-0000-0000-000002000000}"/>
    <hyperlink ref="N10" r:id="rId4" xr:uid="{00000000-0004-0000-0000-000003000000}"/>
    <hyperlink ref="N11" r:id="rId5" xr:uid="{00000000-0004-0000-0000-000004000000}"/>
    <hyperlink ref="N12" r:id="rId6" xr:uid="{00000000-0004-0000-0000-000005000000}"/>
    <hyperlink ref="N13" r:id="rId7" xr:uid="{00000000-0004-0000-0000-000006000000}"/>
    <hyperlink ref="N14" r:id="rId8" xr:uid="{00000000-0004-0000-0000-000007000000}"/>
    <hyperlink ref="N15" r:id="rId9" xr:uid="{00000000-0004-0000-0000-000008000000}"/>
    <hyperlink ref="N16" r:id="rId10" xr:uid="{00000000-0004-0000-0000-000009000000}"/>
    <hyperlink ref="N17" r:id="rId11" xr:uid="{00000000-0004-0000-0000-00000A000000}"/>
    <hyperlink ref="N18" r:id="rId12" xr:uid="{00000000-0004-0000-0000-00000B000000}"/>
    <hyperlink ref="N19" r:id="rId13" xr:uid="{00000000-0004-0000-0000-00000C000000}"/>
    <hyperlink ref="N20" r:id="rId14" xr:uid="{00000000-0004-0000-0000-00000D000000}"/>
    <hyperlink ref="N21" r:id="rId15" xr:uid="{00000000-0004-0000-0000-00000E000000}"/>
    <hyperlink ref="N23" r:id="rId16" xr:uid="{00000000-0004-0000-0000-00000F000000}"/>
    <hyperlink ref="N25" r:id="rId17" xr:uid="{00000000-0004-0000-0000-000010000000}"/>
    <hyperlink ref="N24" r:id="rId18" xr:uid="{00000000-0004-0000-0000-000011000000}"/>
    <hyperlink ref="N26" r:id="rId19" xr:uid="{00000000-0004-0000-0000-000012000000}"/>
    <hyperlink ref="N27" r:id="rId20" xr:uid="{00000000-0004-0000-0000-000013000000}"/>
    <hyperlink ref="N28" r:id="rId21" xr:uid="{00000000-0004-0000-0000-000014000000}"/>
    <hyperlink ref="N30" r:id="rId22" xr:uid="{00000000-0004-0000-0000-000015000000}"/>
    <hyperlink ref="N31" r:id="rId23" xr:uid="{00000000-0004-0000-0000-000016000000}"/>
    <hyperlink ref="N32" r:id="rId24" xr:uid="{00000000-0004-0000-0000-000017000000}"/>
    <hyperlink ref="N34" r:id="rId25" xr:uid="{00000000-0004-0000-0000-000018000000}"/>
    <hyperlink ref="N37" r:id="rId26" xr:uid="{00000000-0004-0000-0000-000019000000}"/>
    <hyperlink ref="N38" r:id="rId27" xr:uid="{00000000-0004-0000-0000-00001A000000}"/>
    <hyperlink ref="N39" r:id="rId28" xr:uid="{00000000-0004-0000-0000-00001B000000}"/>
    <hyperlink ref="N43" r:id="rId29" xr:uid="{00000000-0004-0000-0000-00001C000000}"/>
    <hyperlink ref="N44" r:id="rId30" xr:uid="{00000000-0004-0000-0000-00001D000000}"/>
    <hyperlink ref="N6" r:id="rId31" xr:uid="{00000000-0004-0000-0000-00001E000000}"/>
    <hyperlink ref="N7" r:id="rId32" xr:uid="{00000000-0004-0000-0000-00001F000000}"/>
    <hyperlink ref="N8" r:id="rId33" xr:uid="{00000000-0004-0000-0000-000020000000}"/>
    <hyperlink ref="N9" r:id="rId34" xr:uid="{00000000-0004-0000-0000-000021000000}"/>
    <hyperlink ref="N29" r:id="rId35" xr:uid="{00000000-0004-0000-0000-000022000000}"/>
    <hyperlink ref="N35" r:id="rId36" xr:uid="{00000000-0004-0000-0000-000023000000}"/>
    <hyperlink ref="N36" r:id="rId37" xr:uid="{00000000-0004-0000-0000-000024000000}"/>
    <hyperlink ref="N42" r:id="rId38" xr:uid="{00000000-0004-0000-0000-000025000000}"/>
  </hyperlinks>
  <pageMargins left="0.7" right="0.7" top="0.75" bottom="0.75" header="0.3" footer="0.3"/>
  <pageSetup orientation="portrait" r:id="rId39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01945FE-B701-4118-A9C3-5DA9DF52946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Q41</xm:sqref>
        </x14:conditionalFormatting>
        <x14:conditionalFormatting xmlns:xm="http://schemas.microsoft.com/office/excel/2006/main">
          <x14:cfRule type="dataBar" id="{C4FABE8D-C538-4F8C-AF3D-D761B694553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95C28DBC-1CBC-4CC5-8B31-E7020213734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D0D7514C-12FE-4A4F-8D11-1841726592C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N3:N5</xm:sqref>
        </x14:conditionalFormatting>
        <x14:conditionalFormatting xmlns:xm="http://schemas.microsoft.com/office/excel/2006/main">
          <x14:cfRule type="dataBar" id="{F0B90621-6DA6-4516-A516-05C42ACBDF1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N20:N22</xm:sqref>
        </x14:conditionalFormatting>
        <x14:conditionalFormatting xmlns:xm="http://schemas.microsoft.com/office/excel/2006/main">
          <x14:cfRule type="dataBar" id="{3534E561-107E-40A4-8165-E983FF420B6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N31:N35</xm:sqref>
        </x14:conditionalFormatting>
        <x14:conditionalFormatting xmlns:xm="http://schemas.microsoft.com/office/excel/2006/main">
          <x14:cfRule type="dataBar" id="{CC5A7198-6EFD-4BBD-B2B4-FEA92BA2984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P3:P44</xm:sqref>
        </x14:conditionalFormatting>
        <x14:conditionalFormatting xmlns:xm="http://schemas.microsoft.com/office/excel/2006/main">
          <x14:cfRule type="dataBar" id="{304A851A-7DAF-49E6-8C47-8EA0BA412C19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Q46</xm:sqref>
        </x14:conditionalFormatting>
        <x14:conditionalFormatting xmlns:xm="http://schemas.microsoft.com/office/excel/2006/main">
          <x14:cfRule type="dataBar" id="{BC971A51-5923-4FF3-807E-8A8E4E3C254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Q45</xm:sqref>
        </x14:conditionalFormatting>
        <x14:conditionalFormatting xmlns:xm="http://schemas.microsoft.com/office/excel/2006/main">
          <x14:cfRule type="dataBar" id="{BAC096B0-B2C5-45C8-B11B-812CE028723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P48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SIDRA</dc:creator>
  <cp:lastModifiedBy>user</cp:lastModifiedBy>
  <dcterms:created xsi:type="dcterms:W3CDTF">2021-06-08T13:45:48Z</dcterms:created>
  <dcterms:modified xsi:type="dcterms:W3CDTF">2021-10-12T13:46:02Z</dcterms:modified>
</cp:coreProperties>
</file>