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7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<sst xmlns="http://schemas.openxmlformats.org/spreadsheetml/2006/main" count="197" uniqueCount="145">
  <si>
    <t>Bill of Material (BOM) for Christian Raun</t>
  </si>
  <si>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</si>
  <si>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</si>
  <si>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</si>
  <si>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</si>
  <si>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</si>
  <si>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</si>
  <si>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</si>
  <si>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>Alternate</t>
  </si>
  <si>
    <t>Value</t>
  </si>
  <si>
    <t>Quantity 1</t>
  </si>
  <si>
    <t>Quantity (400)</t>
  </si>
  <si>
    <t>Link</t>
  </si>
  <si>
    <t>Unit Price (400)</t>
  </si>
  <si>
    <t>Total Cost(400)</t>
  </si>
  <si>
    <t>Remarks</t>
  </si>
  <si>
    <t>Capacitor</t>
  </si>
  <si>
    <t>CAP CER 1UF 100V X7S 0805</t>
  </si>
  <si>
    <t>C1, C3, C5, C26</t>
  </si>
  <si>
    <t>Cap0805</t>
  </si>
  <si>
    <t>GCM21BC72A105KE36L</t>
  </si>
  <si>
    <t>Murata</t>
  </si>
  <si>
    <t>1uF</t>
  </si>
  <si>
    <t>Digikey</t>
  </si>
  <si>
    <t>CAP CER 0.1UF 100V X7R 0603</t>
  </si>
  <si>
    <t>C2, C4, C6, C7, C8, C9, C10, C11, C12, C13, C14, C15, C16, C20, C21, C22, C23, C24, C25, C30, C31, C41</t>
  </si>
  <si>
    <t>Cap0603</t>
  </si>
  <si>
    <t>CC0603KRX7R0BB104</t>
  </si>
  <si>
    <t>Yageo</t>
  </si>
  <si>
    <t>CL10B104KC8NNNC</t>
  </si>
  <si>
    <t>0.1uF</t>
  </si>
  <si>
    <t>CAP CER 10UF 50V X5R 0805</t>
  </si>
  <si>
    <t>C17</t>
  </si>
  <si>
    <t>GRM21BR61H106ME43L</t>
  </si>
  <si>
    <t>GRM21BR61H106KE43L</t>
  </si>
  <si>
    <t>10uF</t>
  </si>
  <si>
    <t>CAP CER 4.7UF 25V X5R 0603</t>
  </si>
  <si>
    <t>C18, C19, C29</t>
  </si>
  <si>
    <t>C1608X5R1E475M080AC</t>
  </si>
  <si>
    <t>TDK</t>
  </si>
  <si>
    <t>C1608X5R1E475K080AC</t>
  </si>
  <si>
    <t>4.7uF</t>
  </si>
  <si>
    <t>CAP CER 10PF 50V C0G/NP0 0603</t>
  </si>
  <si>
    <t>C27, C28, C32, C33</t>
  </si>
  <si>
    <t>06035A100JAT2A</t>
  </si>
  <si>
    <t>Kyocera AVX</t>
  </si>
  <si>
    <t>10pF</t>
  </si>
  <si>
    <t>LED</t>
  </si>
  <si>
    <t>Green 520~535nm 0402 Light Emitting Diodes (LED) RoHS</t>
  </si>
  <si>
    <t>LED1, LED2</t>
  </si>
  <si>
    <t>LED 0402</t>
  </si>
  <si>
    <t>16-213/GHC-YR1S1/3T</t>
  </si>
  <si>
    <t>Everlight Elec</t>
  </si>
  <si>
    <t>AVNET</t>
  </si>
  <si>
    <t xml:space="preserve">Inductor </t>
  </si>
  <si>
    <t>200Ω @ 100MHz 1 1A 300mΩ 0603 Ferrite Beads</t>
  </si>
  <si>
    <t>L1, L2, L3, L4, L5</t>
  </si>
  <si>
    <t>MLB1608-201P1A(f)</t>
  </si>
  <si>
    <t>Meled</t>
  </si>
  <si>
    <t>IND SMD 10uH 500mA 0805</t>
  </si>
  <si>
    <t>L6</t>
  </si>
  <si>
    <t>Ind0805</t>
  </si>
  <si>
    <t>MGFL2012F100MT-LF</t>
  </si>
  <si>
    <t>microgate</t>
  </si>
  <si>
    <t>Resistor</t>
  </si>
  <si>
    <t>RES SMD 10K OHM 5% 1/10W 0603</t>
  </si>
  <si>
    <t>R1, R2, R3, R4, R5, R9, R14, R15, R16, R23, R24, R41, R42</t>
  </si>
  <si>
    <t>Res0603</t>
  </si>
  <si>
    <t>AC0603JR-0710KL</t>
  </si>
  <si>
    <t>10K</t>
  </si>
  <si>
    <t>RES SMD 0603 33 Ohm 1% 1/10W</t>
  </si>
  <si>
    <t>R6, R11, R12</t>
  </si>
  <si>
    <t>RC0603FR-0733RL</t>
  </si>
  <si>
    <t>33R</t>
  </si>
  <si>
    <t>RES  SMD 330R 100 mW 0603</t>
  </si>
  <si>
    <t>R7</t>
  </si>
  <si>
    <t>RC0603JR-07330RL</t>
  </si>
  <si>
    <t>330R</t>
  </si>
  <si>
    <t>RES SMD 1K OHM 1% 1/10W 0603</t>
  </si>
  <si>
    <t>R8, R10, R40</t>
  </si>
  <si>
    <t>RC0603FR-071KL</t>
  </si>
  <si>
    <t>1K</t>
  </si>
  <si>
    <t>RES SMD 12.1K OHM 1/10W 0603</t>
  </si>
  <si>
    <t>R13</t>
  </si>
  <si>
    <t>RT0603CRD0712K1L</t>
  </si>
  <si>
    <t>12.1K</t>
  </si>
  <si>
    <t>Switch</t>
  </si>
  <si>
    <t>SWITCH TACTILE SPST-NO 0.05A 12V</t>
  </si>
  <si>
    <t>SW1</t>
  </si>
  <si>
    <t>B3U-1000P</t>
  </si>
  <si>
    <t>Omron</t>
  </si>
  <si>
    <t>Ics</t>
  </si>
  <si>
    <t>IC ETHERCAT SLAVE CONTROLLER</t>
  </si>
  <si>
    <t>U1</t>
  </si>
  <si>
    <t>LAN9255/ZMX019</t>
  </si>
  <si>
    <t>Microchip</t>
  </si>
  <si>
    <t>IC EEPROM 256KBIT I2C 1MHZ 8SOIC</t>
  </si>
  <si>
    <t>U2</t>
  </si>
  <si>
    <t>CAT24C256WI-GT3</t>
  </si>
  <si>
    <t>ON Semiconductor</t>
  </si>
  <si>
    <t>ROCELEC</t>
  </si>
  <si>
    <t>MAGNETIC ANGLE SENSOR</t>
  </si>
  <si>
    <t>U4</t>
  </si>
  <si>
    <t>TLE5012BE5000FUMA1</t>
  </si>
  <si>
    <t>Infineon</t>
  </si>
  <si>
    <t>IC TRANSLATION TXRX 5.5V 24TSSOP</t>
  </si>
  <si>
    <t>U5</t>
  </si>
  <si>
    <t>SN74LVCH8T245PWR</t>
  </si>
  <si>
    <t>Texas Instruments</t>
  </si>
  <si>
    <t>Crystal</t>
  </si>
  <si>
    <t>CRYSTAL 25.0000MHZ 8PF SMD</t>
  </si>
  <si>
    <t>X1</t>
  </si>
  <si>
    <t>C3E-25.000-8-1015-X-M</t>
  </si>
  <si>
    <t>Aker Technology USA</t>
  </si>
  <si>
    <t>Crystal 32.768KHZ 6.0PF SMD</t>
  </si>
  <si>
    <t>X2</t>
  </si>
  <si>
    <t>CM8V-T1A-32.768KHZ-6PF-20PPM-TA-QC</t>
  </si>
  <si>
    <t>Micro Crystal</t>
  </si>
  <si>
    <t>Connector</t>
  </si>
  <si>
    <t>2.54mm Straight 1 4 Header TH,P=2.54mm Pin Headers ROHS</t>
  </si>
  <si>
    <t>J1</t>
  </si>
  <si>
    <t>HDR1X4</t>
  </si>
  <si>
    <t>MTP125-1104S1</t>
  </si>
  <si>
    <t>MINTRON</t>
  </si>
  <si>
    <t>1.27mm 1.27mm Phosphor bronze 20 2 SMD,P=1.27mm Female Headers ROHS</t>
  </si>
  <si>
    <t>J2</t>
  </si>
  <si>
    <t>B-2201N20P-B120</t>
  </si>
  <si>
    <t>CKMTW</t>
  </si>
  <si>
    <t>CONN HEADER VERT 10POS 2.54MM</t>
  </si>
  <si>
    <t>J3</t>
  </si>
  <si>
    <t>HDR2X5</t>
  </si>
  <si>
    <t>67997-410HLF</t>
  </si>
  <si>
    <t>Amphenol FCI</t>
  </si>
  <si>
    <t>Bag Price</t>
  </si>
  <si>
    <t>2.54mm Straight 1 Header TH ,P=2.54mm Pin Headers ROHS</t>
  </si>
  <si>
    <t>J4</t>
  </si>
  <si>
    <t>HDR1X5</t>
  </si>
  <si>
    <t>MTP125-1105S1</t>
  </si>
  <si>
    <t>Test Point ON</t>
  </si>
  <si>
    <t>P1, P5, P6</t>
  </si>
  <si>
    <t>TEST POINT</t>
  </si>
  <si>
    <t>Test Point</t>
  </si>
  <si>
    <t>Solder Bridge ON</t>
  </si>
  <si>
    <t>SB1, SB4, SB5, SB6, SB7</t>
  </si>
  <si>
    <t>Solder Bridge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</si>
</sst>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</numFmts>
  <fonts count="28"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9"/>
      <color rgb="FF444444"/>
      <name val="Arial"/>
      <charset val="134"/>
    </font>
    <font>
      <u/>
      <sz val="11"/>
      <color rgb="FF0000FF"/>
      <name val="Calibri"/>
      <charset val="0"/>
      <scheme val="minor"/>
    </font>
    <font>
      <sz val="10.5"/>
      <color theme="1"/>
      <name val="Arial"/>
      <charset val="134"/>
    </font>
    <font>
      <u/>
      <sz val="11"/>
      <color rgb="FF800080"/>
      <name val="Calibri"/>
      <charset val="0"/>
      <scheme val="minor"/>
    </font>
    <font>
      <b/>
      <sz val="9.75"/>
      <color rgb="FF000000"/>
      <name val="Arial"/>
      <charset val="134"/>
    </font>
    <font>
      <sz val="12"/>
      <color rgb="FF0A0A0A"/>
      <name val="Helvetica"/>
      <charset val="134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1" fillId="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0" fillId="11" borderId="14" applyNumberFormat="0" applyFon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5" fillId="8" borderId="13" applyNumberForma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1" fillId="8" borderId="11" applyNumberFormat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4" fillId="0" borderId="5" xfId="0" applyFont="1" applyFill="1" applyBorder="1" applyAlignment="1">
      <alignment vertical="center"/>
    </xf>
    <xf numFmtId="0" fontId="3" fillId="0" borderId="6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vertical="center" wrapText="1"/>
    </xf>
    <xf numFmtId="0" fontId="5" fillId="0" borderId="0" xfId="0" applyFont="1">
      <alignment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1" fillId="2" borderId="9" xfId="0" applyFont="1" applyFill="1" applyBorder="1" applyAlignment="1">
      <alignment horizontal="center" vertical="center"/>
    </xf>
    <xf numFmtId="0" fontId="6" fillId="0" borderId="0" xfId="7">
      <alignment vertical="center"/>
    </xf>
    <xf numFmtId="0" fontId="7" fillId="0" borderId="0" xfId="0" applyFont="1">
      <alignment vertical="center"/>
    </xf>
    <xf numFmtId="0" fontId="8" fillId="0" borderId="0" xfId="7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4" fillId="0" borderId="4" xfId="0" applyFont="1" applyFill="1" applyBorder="1" applyAlignment="1" quotePrefix="1">
      <alignment vertical="center"/>
    </xf>
    <xf numFmtId="0" fontId="4" fillId="0" borderId="5" xfId="0" applyFont="1" applyFill="1" applyBorder="1" applyAlignment="1" quotePrefix="1">
      <alignment vertical="center"/>
    </xf>
    <xf numFmtId="0" fontId="4" fillId="0" borderId="5" xfId="0" applyFont="1" applyFill="1" applyBorder="1" applyAlignment="1" quotePrefix="1">
      <alignment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digikey.com/en/products/detail/yageo/RC0603JR-07330RL/726769?s=N4IgTCBcDaIEoGEAMA2JBmAUnAtEg7OuknADIgC6AvkA" TargetMode="External"/><Relationship Id="rId8" Type="http://schemas.openxmlformats.org/officeDocument/2006/relationships/hyperlink" Target="https://www.digikey.com/en/products/detail/te-connectivity-passive-product/CRGCQ0603J33R/8576684" TargetMode="External"/><Relationship Id="rId7" Type="http://schemas.openxmlformats.org/officeDocument/2006/relationships/hyperlink" Target="https://www.digikey.com/en/products/detail/yageo/AC0603JR-0710KL/2827830?s=N4IgTCBcDaIIIGEAMA2JBmAUgJQLRIHYBGJAaQBkQBdAXyA" TargetMode="External"/><Relationship Id="rId6" Type="http://schemas.openxmlformats.org/officeDocument/2006/relationships/hyperlink" Target="https://www.avnet.com/shop/emea/products/everlight/16-213-ghc-yr1s1-3t-3074457345634368380/" TargetMode="External"/><Relationship Id="rId5" Type="http://schemas.openxmlformats.org/officeDocument/2006/relationships/hyperlink" Target="https://www.digikey.com/en/products/detail/kyocera-avx/06035A100JAT2A/563273?s=N4IgTCBcDaIAwDY4GYCsBBAjHOApdAKmOiALoC%2BQA" TargetMode="External"/><Relationship Id="rId4" Type="http://schemas.openxmlformats.org/officeDocument/2006/relationships/hyperlink" Target="https://www.digikey.com/en/products/detail/murata-electronics/GCM21BC72A105KE36L/6606065?s=N4IgTCBcDaIOIGECyYCMAhBB2MBBVADAKwDSAogMwBsAMiALoC%2BQA" TargetMode="External"/><Relationship Id="rId3" Type="http://schemas.openxmlformats.org/officeDocument/2006/relationships/hyperlink" Target="https://www.digikey.com/en/products/detail/tdk-corporation/C1608X5R1E475K080AC/3648704" TargetMode="External"/><Relationship Id="rId2" Type="http://schemas.openxmlformats.org/officeDocument/2006/relationships/hyperlink" Target="https://www.digikey.com/en/products/detail/murata-electronics/GRM21BR61H106KE43L/10326316" TargetMode="External"/><Relationship Id="rId15" Type="http://schemas.openxmlformats.org/officeDocument/2006/relationships/hyperlink" Target="https://www.rocelec.com/part/INFTLE5012BE5000FUMA1" TargetMode="External"/><Relationship Id="rId14" Type="http://schemas.openxmlformats.org/officeDocument/2006/relationships/hyperlink" Target="https://www.rocelec.com/part/ONSCAT24C256WI-GT3" TargetMode="External"/><Relationship Id="rId13" Type="http://schemas.openxmlformats.org/officeDocument/2006/relationships/hyperlink" Target="https://www.digikey.com/en/products/detail/amphenol-icc-fci/67997-410HLF/1878475?s=N4IgTCBcDaIGwHYCcSEFoAsBGADACQBkAxEAXQF8g" TargetMode="External"/><Relationship Id="rId12" Type="http://schemas.openxmlformats.org/officeDocument/2006/relationships/hyperlink" Target="https://www.digikey.com/en/products/detail/texas-instruments/SN74LVCH8T245PWR/1216675?s=N4IgTCBcDaIMoDkDsAWAMgNQMIAkAcAKmCgKwAKA6gEogC6AvkA" TargetMode="External"/><Relationship Id="rId11" Type="http://schemas.openxmlformats.org/officeDocument/2006/relationships/hyperlink" Target="https://www.digikey.com/en/products/detail/stackpole-electronics-inc/RMCF0603FT12K1/1761240" TargetMode="External"/><Relationship Id="rId10" Type="http://schemas.openxmlformats.org/officeDocument/2006/relationships/hyperlink" Target="https://www.digikey.com/en/products/detail/yageo/RC0603FR-071KL/726843?s=N4IgTCBcDaIEoGEAMA2JBmAYnAtEg7AIwDSAMiALoC%2BQA" TargetMode="External"/><Relationship Id="rId1" Type="http://schemas.openxmlformats.org/officeDocument/2006/relationships/hyperlink" Target="https://www.digikey.com/en/products/detail/samsung-electro-mechanics/CL10B104KC8NNNC/59612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0"/>
  <sheetViews>
    <sheetView tabSelected="1" zoomScale="88" zoomScaleNormal="88" topLeftCell="D2" workbookViewId="0">
      <selection activeCell="C30" sqref="C30"/>
    </sheetView>
  </sheetViews>
  <sheetFormatPr defaultColWidth="9.14285714285714" defaultRowHeight="15"/>
  <cols>
    <col min="1" max="1" width="6.71428571428571" customWidth="1"/>
    <col min="2" max="2" width="13.1428571428571" customWidth="1"/>
    <col min="3" max="3" width="26.2857142857143" customWidth="1"/>
    <col min="4" max="5" width="40.7142857142857" customWidth="1"/>
    <col min="6" max="6" width="27.2857142857143" customWidth="1"/>
    <col min="7" max="7" width="21.5714285714286" customWidth="1"/>
    <col min="8" max="8" width="19.5714285714286" customWidth="1"/>
    <col min="9" max="9" width="40.7142857142857" customWidth="1"/>
    <col min="10" max="10" width="10.8571428571429" customWidth="1"/>
    <col min="11" max="11" width="14.7142857142857" customWidth="1"/>
    <col min="12" max="12" width="7.85714285714286" customWidth="1"/>
    <col min="13" max="13" width="15.7142857142857" customWidth="1"/>
    <col min="14" max="14" width="15.2857142857143" customWidth="1"/>
  </cols>
  <sheetData>
    <row r="1" ht="16.5" spans="1: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6"/>
    </row>
    <row r="2" ht="15.75" spans="1:1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</row>
    <row r="3" spans="1:13">
      <c r="A3">
        <v>1</v>
      </c>
      <c r="B3" s="4" t="s">
        <v>16</v>
      </c>
      <c r="C3" s="22" t="s">
        <v>17</v>
      </c>
      <c r="D3" s="23" t="s">
        <v>18</v>
      </c>
      <c r="E3" s="23" t="s">
        <v>19</v>
      </c>
      <c r="F3" s="23" t="s">
        <v>20</v>
      </c>
      <c r="G3" s="23" t="s">
        <v>21</v>
      </c>
      <c r="I3" s="23" t="s">
        <v>22</v>
      </c>
      <c r="J3" s="6">
        <v>4</v>
      </c>
      <c r="K3">
        <f>J3*400</f>
        <v>1600</v>
      </c>
      <c r="L3" s="17" t="s">
        <v>23</v>
      </c>
      <c r="M3" s="18">
        <v>0.14152</v>
      </c>
    </row>
    <row r="4" ht="45" spans="1:13">
      <c r="A4">
        <f>A3+1</f>
        <v>2</v>
      </c>
      <c r="B4" s="7"/>
      <c r="C4" s="22" t="s">
        <v>24</v>
      </c>
      <c r="D4" s="24" t="s">
        <v>25</v>
      </c>
      <c r="E4" s="23" t="s">
        <v>26</v>
      </c>
      <c r="F4" s="23" t="s">
        <v>27</v>
      </c>
      <c r="G4" s="23" t="s">
        <v>28</v>
      </c>
      <c r="H4" s="9" t="s">
        <v>29</v>
      </c>
      <c r="I4" s="23" t="s">
        <v>30</v>
      </c>
      <c r="J4" s="6">
        <v>22</v>
      </c>
      <c r="K4">
        <f t="shared" ref="K4:K28" si="0">J4*400</f>
        <v>8800</v>
      </c>
      <c r="L4" s="19" t="s">
        <v>23</v>
      </c>
      <c r="M4" s="18"/>
    </row>
    <row r="5" spans="1:13">
      <c r="A5">
        <f t="shared" ref="A5:A28" si="1">A4+1</f>
        <v>3</v>
      </c>
      <c r="B5" s="7"/>
      <c r="C5" s="22" t="s">
        <v>31</v>
      </c>
      <c r="D5" s="23" t="s">
        <v>32</v>
      </c>
      <c r="E5" s="23" t="s">
        <v>19</v>
      </c>
      <c r="F5" s="23" t="s">
        <v>33</v>
      </c>
      <c r="G5" s="23" t="s">
        <v>21</v>
      </c>
      <c r="H5" s="9" t="s">
        <v>34</v>
      </c>
      <c r="I5" s="23" t="s">
        <v>35</v>
      </c>
      <c r="J5" s="6">
        <v>1</v>
      </c>
      <c r="K5">
        <f t="shared" si="0"/>
        <v>400</v>
      </c>
      <c r="L5" s="19" t="s">
        <v>23</v>
      </c>
      <c r="M5" s="18">
        <v>0.1587</v>
      </c>
    </row>
    <row r="6" spans="1:13">
      <c r="A6">
        <f t="shared" si="1"/>
        <v>4</v>
      </c>
      <c r="B6" s="7"/>
      <c r="C6" s="22" t="s">
        <v>36</v>
      </c>
      <c r="D6" s="23" t="s">
        <v>37</v>
      </c>
      <c r="E6" s="23" t="s">
        <v>26</v>
      </c>
      <c r="F6" s="23" t="s">
        <v>38</v>
      </c>
      <c r="G6" s="23" t="s">
        <v>39</v>
      </c>
      <c r="H6" s="9" t="s">
        <v>40</v>
      </c>
      <c r="I6" s="23" t="s">
        <v>41</v>
      </c>
      <c r="J6" s="6">
        <v>3</v>
      </c>
      <c r="K6">
        <f t="shared" si="0"/>
        <v>1200</v>
      </c>
      <c r="L6" s="17" t="s">
        <v>23</v>
      </c>
      <c r="M6" s="18">
        <v>0.09483</v>
      </c>
    </row>
    <row r="7" ht="15.75" spans="1:13">
      <c r="A7">
        <f t="shared" si="1"/>
        <v>5</v>
      </c>
      <c r="B7" s="7"/>
      <c r="C7" s="22" t="s">
        <v>42</v>
      </c>
      <c r="D7" s="23" t="s">
        <v>43</v>
      </c>
      <c r="E7" s="23" t="s">
        <v>26</v>
      </c>
      <c r="F7" s="23" t="s">
        <v>44</v>
      </c>
      <c r="G7" s="23" t="s">
        <v>45</v>
      </c>
      <c r="I7" s="23" t="s">
        <v>46</v>
      </c>
      <c r="J7" s="6">
        <v>4</v>
      </c>
      <c r="K7">
        <f t="shared" si="0"/>
        <v>1600</v>
      </c>
      <c r="L7" s="17" t="s">
        <v>23</v>
      </c>
      <c r="M7" s="18">
        <v>0.01208</v>
      </c>
    </row>
    <row r="8" ht="15.75" spans="1:13">
      <c r="A8">
        <f t="shared" si="1"/>
        <v>6</v>
      </c>
      <c r="B8" s="10" t="s">
        <v>47</v>
      </c>
      <c r="C8" s="22" t="s">
        <v>48</v>
      </c>
      <c r="D8" s="23" t="s">
        <v>49</v>
      </c>
      <c r="E8" s="23" t="s">
        <v>50</v>
      </c>
      <c r="F8" s="23" t="s">
        <v>51</v>
      </c>
      <c r="G8" s="23" t="s">
        <v>52</v>
      </c>
      <c r="I8" s="23" t="s">
        <v>51</v>
      </c>
      <c r="J8" s="6">
        <v>2</v>
      </c>
      <c r="K8">
        <f t="shared" si="0"/>
        <v>800</v>
      </c>
      <c r="L8" s="17" t="s">
        <v>53</v>
      </c>
      <c r="M8" s="20">
        <v>0.3632</v>
      </c>
    </row>
    <row r="9" spans="1:11">
      <c r="A9">
        <f t="shared" si="1"/>
        <v>7</v>
      </c>
      <c r="B9" s="4" t="s">
        <v>54</v>
      </c>
      <c r="C9" s="22" t="s">
        <v>55</v>
      </c>
      <c r="D9" s="23" t="s">
        <v>56</v>
      </c>
      <c r="E9" s="23" t="s">
        <v>57</v>
      </c>
      <c r="F9" s="23" t="s">
        <v>57</v>
      </c>
      <c r="G9" s="23" t="s">
        <v>58</v>
      </c>
      <c r="I9" s="23" t="s">
        <v>57</v>
      </c>
      <c r="J9" s="6">
        <v>5</v>
      </c>
      <c r="K9">
        <f t="shared" si="0"/>
        <v>2000</v>
      </c>
    </row>
    <row r="10" ht="15.75" spans="1:11">
      <c r="A10">
        <f t="shared" si="1"/>
        <v>8</v>
      </c>
      <c r="B10" s="7"/>
      <c r="C10" s="22" t="s">
        <v>59</v>
      </c>
      <c r="D10" s="23" t="s">
        <v>60</v>
      </c>
      <c r="E10" s="23" t="s">
        <v>61</v>
      </c>
      <c r="F10" s="23" t="s">
        <v>62</v>
      </c>
      <c r="G10" s="23" t="s">
        <v>63</v>
      </c>
      <c r="I10" s="23" t="s">
        <v>62</v>
      </c>
      <c r="J10" s="6">
        <v>1</v>
      </c>
      <c r="K10">
        <f t="shared" si="0"/>
        <v>400</v>
      </c>
    </row>
    <row r="11" spans="1:12">
      <c r="A11">
        <f t="shared" si="1"/>
        <v>9</v>
      </c>
      <c r="B11" s="4" t="s">
        <v>64</v>
      </c>
      <c r="C11" s="22" t="s">
        <v>65</v>
      </c>
      <c r="D11" s="23" t="s">
        <v>66</v>
      </c>
      <c r="E11" s="23" t="s">
        <v>67</v>
      </c>
      <c r="F11" s="23" t="s">
        <v>68</v>
      </c>
      <c r="G11" s="23" t="s">
        <v>28</v>
      </c>
      <c r="I11" s="23" t="s">
        <v>69</v>
      </c>
      <c r="J11" s="6">
        <v>13</v>
      </c>
      <c r="K11">
        <f t="shared" si="0"/>
        <v>5200</v>
      </c>
      <c r="L11" s="17" t="s">
        <v>23</v>
      </c>
    </row>
    <row r="12" spans="1:13">
      <c r="A12">
        <f t="shared" si="1"/>
        <v>10</v>
      </c>
      <c r="B12" s="7"/>
      <c r="C12" s="22" t="s">
        <v>70</v>
      </c>
      <c r="D12" s="23" t="s">
        <v>71</v>
      </c>
      <c r="E12" s="23" t="s">
        <v>67</v>
      </c>
      <c r="F12" s="23" t="s">
        <v>72</v>
      </c>
      <c r="G12" s="23" t="s">
        <v>28</v>
      </c>
      <c r="I12" s="23" t="s">
        <v>73</v>
      </c>
      <c r="J12" s="6">
        <v>3</v>
      </c>
      <c r="K12">
        <f t="shared" si="0"/>
        <v>1200</v>
      </c>
      <c r="L12" s="17" t="s">
        <v>23</v>
      </c>
      <c r="M12" s="18">
        <v>0.00457</v>
      </c>
    </row>
    <row r="13" spans="1:13">
      <c r="A13">
        <f t="shared" si="1"/>
        <v>11</v>
      </c>
      <c r="B13" s="7"/>
      <c r="C13" s="22" t="s">
        <v>74</v>
      </c>
      <c r="D13" s="23" t="s">
        <v>75</v>
      </c>
      <c r="E13" s="23" t="s">
        <v>67</v>
      </c>
      <c r="F13" s="23" t="s">
        <v>76</v>
      </c>
      <c r="G13" s="23" t="s">
        <v>28</v>
      </c>
      <c r="I13" s="23" t="s">
        <v>77</v>
      </c>
      <c r="J13" s="6">
        <v>1</v>
      </c>
      <c r="K13">
        <f t="shared" si="0"/>
        <v>400</v>
      </c>
      <c r="L13" s="17" t="s">
        <v>23</v>
      </c>
      <c r="M13" s="18">
        <v>0.008</v>
      </c>
    </row>
    <row r="14" spans="1:13">
      <c r="A14">
        <f t="shared" si="1"/>
        <v>12</v>
      </c>
      <c r="B14" s="7"/>
      <c r="C14" s="22" t="s">
        <v>78</v>
      </c>
      <c r="D14" s="23" t="s">
        <v>79</v>
      </c>
      <c r="E14" s="23" t="s">
        <v>67</v>
      </c>
      <c r="F14" s="23" t="s">
        <v>80</v>
      </c>
      <c r="G14" s="23" t="s">
        <v>28</v>
      </c>
      <c r="I14" s="23" t="s">
        <v>81</v>
      </c>
      <c r="J14" s="6">
        <v>3</v>
      </c>
      <c r="K14">
        <f t="shared" si="0"/>
        <v>1200</v>
      </c>
      <c r="L14" s="17" t="s">
        <v>23</v>
      </c>
      <c r="M14" s="18">
        <v>0.00436</v>
      </c>
    </row>
    <row r="15" ht="15.75" spans="1:13">
      <c r="A15">
        <f t="shared" si="1"/>
        <v>13</v>
      </c>
      <c r="B15" s="7"/>
      <c r="C15" s="22" t="s">
        <v>82</v>
      </c>
      <c r="D15" s="23" t="s">
        <v>83</v>
      </c>
      <c r="E15" s="23" t="s">
        <v>67</v>
      </c>
      <c r="F15" s="23" t="s">
        <v>84</v>
      </c>
      <c r="G15" s="23" t="s">
        <v>28</v>
      </c>
      <c r="I15" s="23" t="s">
        <v>85</v>
      </c>
      <c r="J15" s="6">
        <v>1</v>
      </c>
      <c r="K15">
        <f t="shared" si="0"/>
        <v>400</v>
      </c>
      <c r="L15" s="17" t="s">
        <v>23</v>
      </c>
      <c r="M15" s="18">
        <v>0.0068</v>
      </c>
    </row>
    <row r="16" ht="15.75" spans="1:11">
      <c r="A16">
        <f t="shared" si="1"/>
        <v>14</v>
      </c>
      <c r="B16" s="10" t="s">
        <v>86</v>
      </c>
      <c r="C16" s="22" t="s">
        <v>87</v>
      </c>
      <c r="D16" s="23" t="s">
        <v>88</v>
      </c>
      <c r="E16" s="23" t="s">
        <v>89</v>
      </c>
      <c r="F16" s="23" t="s">
        <v>89</v>
      </c>
      <c r="G16" s="23" t="s">
        <v>90</v>
      </c>
      <c r="I16" s="23" t="s">
        <v>89</v>
      </c>
      <c r="J16" s="6">
        <v>1</v>
      </c>
      <c r="K16">
        <f t="shared" si="0"/>
        <v>400</v>
      </c>
    </row>
    <row r="17" spans="1:11">
      <c r="A17">
        <f t="shared" si="1"/>
        <v>15</v>
      </c>
      <c r="B17" s="4" t="s">
        <v>91</v>
      </c>
      <c r="C17" s="22" t="s">
        <v>92</v>
      </c>
      <c r="D17" s="23" t="s">
        <v>93</v>
      </c>
      <c r="E17" s="23" t="s">
        <v>94</v>
      </c>
      <c r="F17" s="23" t="s">
        <v>94</v>
      </c>
      <c r="G17" s="23" t="s">
        <v>95</v>
      </c>
      <c r="I17" s="23" t="s">
        <v>94</v>
      </c>
      <c r="J17" s="6">
        <v>1</v>
      </c>
      <c r="K17">
        <f t="shared" si="0"/>
        <v>400</v>
      </c>
    </row>
    <row r="18" spans="1:13">
      <c r="A18">
        <f t="shared" si="1"/>
        <v>16</v>
      </c>
      <c r="B18" s="7"/>
      <c r="C18" s="22" t="s">
        <v>96</v>
      </c>
      <c r="D18" s="23" t="s">
        <v>97</v>
      </c>
      <c r="E18" s="23" t="s">
        <v>98</v>
      </c>
      <c r="F18" s="23" t="s">
        <v>98</v>
      </c>
      <c r="G18" s="23" t="s">
        <v>99</v>
      </c>
      <c r="I18" s="23" t="s">
        <v>98</v>
      </c>
      <c r="J18" s="6">
        <v>1</v>
      </c>
      <c r="K18">
        <f t="shared" si="0"/>
        <v>400</v>
      </c>
      <c r="L18" s="17" t="s">
        <v>100</v>
      </c>
      <c r="M18" s="21">
        <v>0.22</v>
      </c>
    </row>
    <row r="19" spans="1:13">
      <c r="A19">
        <f t="shared" si="1"/>
        <v>17</v>
      </c>
      <c r="B19" s="7"/>
      <c r="C19" s="22" t="s">
        <v>101</v>
      </c>
      <c r="D19" s="23" t="s">
        <v>102</v>
      </c>
      <c r="E19" s="23" t="s">
        <v>103</v>
      </c>
      <c r="F19" s="23" t="s">
        <v>103</v>
      </c>
      <c r="G19" s="23" t="s">
        <v>104</v>
      </c>
      <c r="I19" s="23" t="s">
        <v>103</v>
      </c>
      <c r="J19" s="6">
        <v>1</v>
      </c>
      <c r="K19">
        <f t="shared" si="0"/>
        <v>400</v>
      </c>
      <c r="L19" s="17" t="s">
        <v>100</v>
      </c>
      <c r="M19" s="21">
        <v>2.39</v>
      </c>
    </row>
    <row r="20" ht="15.75" spans="1:13">
      <c r="A20">
        <f t="shared" si="1"/>
        <v>18</v>
      </c>
      <c r="B20" s="7"/>
      <c r="C20" s="22" t="s">
        <v>105</v>
      </c>
      <c r="D20" s="23" t="s">
        <v>106</v>
      </c>
      <c r="E20" s="23" t="s">
        <v>107</v>
      </c>
      <c r="F20" s="23" t="s">
        <v>107</v>
      </c>
      <c r="G20" s="23" t="s">
        <v>108</v>
      </c>
      <c r="I20" s="23" t="s">
        <v>107</v>
      </c>
      <c r="J20" s="6">
        <v>1</v>
      </c>
      <c r="K20">
        <f t="shared" si="0"/>
        <v>400</v>
      </c>
      <c r="L20" s="17" t="s">
        <v>23</v>
      </c>
      <c r="M20" s="18">
        <v>1.02328</v>
      </c>
    </row>
    <row r="21" spans="1:11">
      <c r="A21">
        <f t="shared" si="1"/>
        <v>19</v>
      </c>
      <c r="B21" s="11" t="s">
        <v>109</v>
      </c>
      <c r="C21" s="22" t="s">
        <v>110</v>
      </c>
      <c r="D21" s="23" t="s">
        <v>111</v>
      </c>
      <c r="E21" s="23" t="s">
        <v>112</v>
      </c>
      <c r="F21" s="23" t="s">
        <v>112</v>
      </c>
      <c r="G21" s="23" t="s">
        <v>113</v>
      </c>
      <c r="I21" s="23" t="s">
        <v>112</v>
      </c>
      <c r="J21" s="6">
        <v>1</v>
      </c>
      <c r="K21">
        <f t="shared" si="0"/>
        <v>400</v>
      </c>
    </row>
    <row r="22" ht="15.75" spans="1:11">
      <c r="A22">
        <f t="shared" si="1"/>
        <v>20</v>
      </c>
      <c r="B22" s="12"/>
      <c r="C22" s="22" t="s">
        <v>114</v>
      </c>
      <c r="D22" s="23" t="s">
        <v>115</v>
      </c>
      <c r="E22" s="23" t="s">
        <v>116</v>
      </c>
      <c r="F22" s="23" t="s">
        <v>116</v>
      </c>
      <c r="G22" s="23" t="s">
        <v>117</v>
      </c>
      <c r="I22" s="23" t="s">
        <v>116</v>
      </c>
      <c r="J22" s="6">
        <v>1</v>
      </c>
      <c r="K22">
        <f t="shared" si="0"/>
        <v>400</v>
      </c>
    </row>
    <row r="23" spans="1:11">
      <c r="A23">
        <f t="shared" si="1"/>
        <v>21</v>
      </c>
      <c r="B23" s="4" t="s">
        <v>118</v>
      </c>
      <c r="C23" s="22" t="s">
        <v>119</v>
      </c>
      <c r="D23" s="23" t="s">
        <v>120</v>
      </c>
      <c r="E23" s="23" t="s">
        <v>121</v>
      </c>
      <c r="F23" s="23" t="s">
        <v>122</v>
      </c>
      <c r="G23" s="23" t="s">
        <v>123</v>
      </c>
      <c r="I23" s="23" t="s">
        <v>122</v>
      </c>
      <c r="J23" s="6">
        <v>1</v>
      </c>
      <c r="K23">
        <f t="shared" si="0"/>
        <v>400</v>
      </c>
    </row>
    <row r="24" spans="1:11">
      <c r="A24">
        <f t="shared" si="1"/>
        <v>22</v>
      </c>
      <c r="B24" s="7"/>
      <c r="C24" s="22" t="s">
        <v>124</v>
      </c>
      <c r="D24" s="23" t="s">
        <v>125</v>
      </c>
      <c r="E24" s="23" t="s">
        <v>126</v>
      </c>
      <c r="F24" s="23" t="s">
        <v>126</v>
      </c>
      <c r="G24" s="23" t="s">
        <v>127</v>
      </c>
      <c r="I24" s="23" t="s">
        <v>126</v>
      </c>
      <c r="J24" s="6">
        <v>1</v>
      </c>
      <c r="K24">
        <f t="shared" si="0"/>
        <v>400</v>
      </c>
    </row>
    <row r="25" spans="1:15">
      <c r="A25">
        <f t="shared" si="1"/>
        <v>23</v>
      </c>
      <c r="B25" s="7"/>
      <c r="C25" s="22" t="s">
        <v>128</v>
      </c>
      <c r="D25" s="6" t="s">
        <v>129</v>
      </c>
      <c r="E25" s="23" t="s">
        <v>130</v>
      </c>
      <c r="F25" s="23" t="s">
        <v>131</v>
      </c>
      <c r="G25" s="23" t="s">
        <v>132</v>
      </c>
      <c r="I25" s="23" t="s">
        <v>131</v>
      </c>
      <c r="J25" s="6">
        <v>1</v>
      </c>
      <c r="K25">
        <f t="shared" si="0"/>
        <v>400</v>
      </c>
      <c r="L25" s="17" t="s">
        <v>23</v>
      </c>
      <c r="M25" s="18">
        <v>0.2158</v>
      </c>
      <c r="O25" t="s">
        <v>133</v>
      </c>
    </row>
    <row r="26" spans="1:11">
      <c r="A26">
        <f t="shared" si="1"/>
        <v>24</v>
      </c>
      <c r="B26" s="7"/>
      <c r="C26" s="22" t="s">
        <v>134</v>
      </c>
      <c r="D26" s="6" t="s">
        <v>135</v>
      </c>
      <c r="E26" s="23" t="s">
        <v>136</v>
      </c>
      <c r="F26" s="23" t="s">
        <v>137</v>
      </c>
      <c r="G26" s="23" t="s">
        <v>123</v>
      </c>
      <c r="I26" s="23" t="s">
        <v>137</v>
      </c>
      <c r="J26" s="6">
        <v>1</v>
      </c>
      <c r="K26">
        <f t="shared" si="0"/>
        <v>400</v>
      </c>
    </row>
    <row r="27" spans="1:11">
      <c r="A27">
        <f t="shared" si="1"/>
        <v>25</v>
      </c>
      <c r="B27" s="7"/>
      <c r="C27" s="22" t="s">
        <v>138</v>
      </c>
      <c r="D27" s="23" t="s">
        <v>139</v>
      </c>
      <c r="E27" s="23" t="s">
        <v>140</v>
      </c>
      <c r="F27" s="23" t="s">
        <v>140</v>
      </c>
      <c r="G27" s="6"/>
      <c r="I27" s="23" t="s">
        <v>141</v>
      </c>
      <c r="J27" s="6">
        <v>3</v>
      </c>
      <c r="K27">
        <f t="shared" si="0"/>
        <v>1200</v>
      </c>
    </row>
    <row r="28" ht="15.75" spans="1:11">
      <c r="A28">
        <f t="shared" si="1"/>
        <v>26</v>
      </c>
      <c r="B28" s="13"/>
      <c r="C28" s="22" t="s">
        <v>142</v>
      </c>
      <c r="D28" s="23" t="s">
        <v>143</v>
      </c>
      <c r="E28" s="23" t="s">
        <v>144</v>
      </c>
      <c r="F28" s="23" t="s">
        <v>144</v>
      </c>
      <c r="G28" s="6"/>
      <c r="I28" s="23" t="s">
        <v>144</v>
      </c>
      <c r="J28" s="6">
        <v>5</v>
      </c>
      <c r="K28">
        <f t="shared" si="0"/>
        <v>2000</v>
      </c>
    </row>
    <row r="30" spans="1:2">
      <c r="A30" s="14"/>
      <c r="B30" s="15"/>
    </row>
  </sheetData>
  <mergeCells count="7">
    <mergeCell ref="A1:O1"/>
    <mergeCell ref="B3:B7"/>
    <mergeCell ref="B9:B10"/>
    <mergeCell ref="B11:B15"/>
    <mergeCell ref="B17:B20"/>
    <mergeCell ref="B21:B22"/>
    <mergeCell ref="B23:B28"/>
  </mergeCells>
  <hyperlinks>
    <hyperlink ref="L4" r:id="rId1" display="Digikey"/>
    <hyperlink ref="L5" r:id="rId2" display="Digikey"/>
    <hyperlink ref="L6" r:id="rId3" display="Digikey"/>
    <hyperlink ref="L3" r:id="rId4" display="Digikey"/>
    <hyperlink ref="L7" r:id="rId5" display="Digikey"/>
    <hyperlink ref="L8" r:id="rId6" display="AVNET"/>
    <hyperlink ref="L11" r:id="rId7" display="Digikey"/>
    <hyperlink ref="L12" r:id="rId8" display="Digikey"/>
    <hyperlink ref="L13" r:id="rId9" display="Digikey"/>
    <hyperlink ref="L14" r:id="rId10" display="Digikey"/>
    <hyperlink ref="L15" r:id="rId11" display="Digikey"/>
    <hyperlink ref="L20" r:id="rId12" display="Digikey"/>
    <hyperlink ref="L25" r:id="rId13" display="Digikey"/>
    <hyperlink ref="L18" r:id="rId14" display="ROCELEC"/>
    <hyperlink ref="L19" r:id="rId15" display="ROCELEC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texon</dc:creator>
  <cp:lastModifiedBy>sidra memon</cp:lastModifiedBy>
  <dcterms:created xsi:type="dcterms:W3CDTF">2021-10-13T11:56:30Z</dcterms:created>
  <dcterms:modified xsi:type="dcterms:W3CDTF">2021-10-13T13:21:27Z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FFC3E03017F649CD93AC3B0CCDDC1282</vt:lpwstr>
  </property>
  <property fmtid="{D5CDD505-2E9C-101B-9397-08002B2CF9AE}" pid="3" name="KSOProductBuildVer">
    <vt:lpwstr>1033-11.2.0.10323</vt:lpwstr>
  </property>
</Properties>
</file>