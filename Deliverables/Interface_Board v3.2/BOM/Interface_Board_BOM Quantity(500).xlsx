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ChristianRaun-EthercatDesign\Deliverables\Interface_Board\BOM\"/>
    </mc:Choice>
  </mc:AlternateContent>
  <xr:revisionPtr revIDLastSave="0" documentId="13_ncr:1_{8B33E60E-95C2-4257-A4BA-8AE873376A3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11" i="1" l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7" i="1"/>
  <c r="Q48" i="1"/>
  <c r="Q49" i="1"/>
  <c r="Q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1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Q50" i="1" l="1"/>
  <c r="Q52" i="1" s="1"/>
</calcChain>
</file>

<file path=xl/sharedStrings.xml><?xml version="1.0" encoding="utf-8"?>
<sst xmlns="http://schemas.openxmlformats.org/spreadsheetml/2006/main" count="416" uniqueCount="268">
  <si>
    <t>Component list</t>
  </si>
  <si>
    <t>Source Data From:</t>
  </si>
  <si>
    <t>Project:</t>
  </si>
  <si>
    <t>Variant:</t>
  </si>
  <si>
    <t>#</t>
  </si>
  <si>
    <t>Approved</t>
  </si>
  <si>
    <t>Notes</t>
  </si>
  <si>
    <t>Bill of Materials for Project [Interface_Board.PrjPcb] (No PCB Document Selected)</t>
  </si>
  <si>
    <t>Interface_Board.PrjPcb</t>
  </si>
  <si>
    <t>None</t>
  </si>
  <si>
    <t>Designator</t>
  </si>
  <si>
    <t>C1</t>
  </si>
  <si>
    <t>C2</t>
  </si>
  <si>
    <t>C43</t>
  </si>
  <si>
    <t>C44, C#9, C#10</t>
  </si>
  <si>
    <t>C45</t>
  </si>
  <si>
    <t>C48, C49, C50, C51, C52, C53, C54, C55</t>
  </si>
  <si>
    <t>C56, C57, C#8</t>
  </si>
  <si>
    <t>C58</t>
  </si>
  <si>
    <t>C#1, C#2, C#3, C#4, C#11, C#12</t>
  </si>
  <si>
    <t>C#5</t>
  </si>
  <si>
    <t>C#6, C#7</t>
  </si>
  <si>
    <t>D2</t>
  </si>
  <si>
    <t>D3</t>
  </si>
  <si>
    <t>D4</t>
  </si>
  <si>
    <t>D5</t>
  </si>
  <si>
    <t>J1</t>
  </si>
  <si>
    <t>J2, J3</t>
  </si>
  <si>
    <t>J4</t>
  </si>
  <si>
    <t>L1</t>
  </si>
  <si>
    <t>L10</t>
  </si>
  <si>
    <t>P1</t>
  </si>
  <si>
    <t>P2, P3</t>
  </si>
  <si>
    <t>P4, P5, P6, P7, P8</t>
  </si>
  <si>
    <t>Q1</t>
  </si>
  <si>
    <t>Q2</t>
  </si>
  <si>
    <t>R1, R#, R#1</t>
  </si>
  <si>
    <t>R2</t>
  </si>
  <si>
    <t>R27</t>
  </si>
  <si>
    <t>R28</t>
  </si>
  <si>
    <t>R29</t>
  </si>
  <si>
    <t>R30, R31, R32, R34, R35, R36, R37, R38</t>
  </si>
  <si>
    <t>R33, R39</t>
  </si>
  <si>
    <t>R#3</t>
  </si>
  <si>
    <t>R#4</t>
  </si>
  <si>
    <t>R#5</t>
  </si>
  <si>
    <t>R#6, R#7</t>
  </si>
  <si>
    <t>SB1</t>
  </si>
  <si>
    <t>U1</t>
  </si>
  <si>
    <t>U3</t>
  </si>
  <si>
    <t>U7</t>
  </si>
  <si>
    <t>Description</t>
  </si>
  <si>
    <t>CAP CER 10UF 25V X5R 0603</t>
  </si>
  <si>
    <t>CAP CER 22UF 25V X5R 0805</t>
  </si>
  <si>
    <t>25V 5mm 10mm 100uF 100kHz SMD,5x10mm Aluminum Electrolytic Cap- SMD ROHS</t>
  </si>
  <si>
    <t>63V 10mm 8mm 100uF ±20% ,8x10mm Aluminum Electrolytic Cap</t>
  </si>
  <si>
    <t>CAP CER 1UF 100V X7S 0805</t>
  </si>
  <si>
    <t>CAP CER 10PF 50V C0G/NP0 0603</t>
  </si>
  <si>
    <t>CAP CER 0.022UF 100V X7R 0603</t>
  </si>
  <si>
    <t>1206 1 nF 2 kV ±10 % Tolerance X7R SMT Multilayer Ceramic Capacitor</t>
  </si>
  <si>
    <t>CAP CER 0.1UF 100V X7R 0603</t>
  </si>
  <si>
    <t>CAP CER 4.7UF 25V X5R 0603</t>
  </si>
  <si>
    <t>CAP CER 0.47UF 100V X7S 0805</t>
  </si>
  <si>
    <t>Diode Schottky 30V 3A 2-Pin SOD-128 T/R</t>
  </si>
  <si>
    <t>SOD-523 Schottky Barrier Diodes (SBD) ROHS</t>
  </si>
  <si>
    <t>1μA@2V 40Ω Single 5.2V~6V 500mW 5.6V SOD123G Zener Diodes ROHS</t>
  </si>
  <si>
    <t>8.6A 69.4V 47.8V 43V Unidirectional SMB(DO-214AA) TVS ROHS</t>
  </si>
  <si>
    <t>Through Hole Ethernet Connectors/Modular Connectors (RJ45 RJ11) ROHS</t>
  </si>
  <si>
    <t>CONN HEADER 4 POS 2.54mm SMD</t>
  </si>
  <si>
    <t>IND SMD 1.5A 2.2uH ±20% 135mΩ</t>
  </si>
  <si>
    <t>FIXED IND 33UH 2.5A 189.2MOHM SM</t>
  </si>
  <si>
    <t>Straight 1 6 2.54mm Black Brass Plugin,P=2.54mm Pin Headers ROHS</t>
  </si>
  <si>
    <t>CONN HEADER VERT 2POS 2.54MM</t>
  </si>
  <si>
    <t>Test Point ON</t>
  </si>
  <si>
    <t>MOSFET N-CH 20V 4.2A SOT23</t>
  </si>
  <si>
    <t>80V 500mW 1A 63@150mA,2V 130MHz 500mV@500mA,50mA NPN +150℃@(Tj) SOT-89(SOT-89-3) Bipolar Transistors - BJT ROHS</t>
  </si>
  <si>
    <t>RES SMD 10K OHM 5% 1/10W 0603</t>
  </si>
  <si>
    <t>RES SMD 100K OHM 5% 1/5W 0603</t>
  </si>
  <si>
    <t>RES 0.075 OHM 1% 2W 2512</t>
  </si>
  <si>
    <t>RES SMD 9kΩ ±100ppm/℃ 0.125W 0805</t>
  </si>
  <si>
    <t>RES SMD 1K OHM 1% 1/10W 0603</t>
  </si>
  <si>
    <t>Res Thick Film 1.6 x 0.8 mm 49.9K Ohm 1% 0.1W(1/10W) 100ppm/ C Molded SMD Paper T/R</t>
  </si>
  <si>
    <t>RES  SMD 330R 100 mW 0603</t>
  </si>
  <si>
    <t>RES SMD 22K OHM 0.1% 1/10W 0603</t>
  </si>
  <si>
    <t>RES 2.2 OHM 1% 1/10W 0603</t>
  </si>
  <si>
    <t>RES SMD 100 OHM 1% 1/10W 0603</t>
  </si>
  <si>
    <t>RES SMD 150m ohms 1/4 1206</t>
  </si>
  <si>
    <t>Solder Bridge ON</t>
  </si>
  <si>
    <t>Buck Switching Regulator IC Positive Fixed 3.3V 1 Output 1A 8-WFDFN Exposed Pad</t>
  </si>
  <si>
    <t>IC STEPPER MOTOR DVR SPI 36QFN</t>
  </si>
  <si>
    <t>2A 40V SOIC-8_EP_150mil DC-DC Converters ROHS</t>
  </si>
  <si>
    <t>Footprint</t>
  </si>
  <si>
    <t>Cap0603</t>
  </si>
  <si>
    <t>Cap0805</t>
  </si>
  <si>
    <t>VKMB1001E101MV</t>
  </si>
  <si>
    <t>VKMD1001J101MV</t>
  </si>
  <si>
    <t>Cap1206</t>
  </si>
  <si>
    <t>MSK4010</t>
  </si>
  <si>
    <t>SOD123G</t>
  </si>
  <si>
    <t>SMB</t>
  </si>
  <si>
    <t>PHF254SMD-x</t>
  </si>
  <si>
    <t>HY951180A</t>
  </si>
  <si>
    <t>1125N1202SNM</t>
  </si>
  <si>
    <t>MCS20FC-2R2MMP</t>
  </si>
  <si>
    <t>ETQ-P4M330YFN</t>
  </si>
  <si>
    <t>C37208</t>
  </si>
  <si>
    <t>HDR1X2</t>
  </si>
  <si>
    <t>TEST POINT</t>
  </si>
  <si>
    <t>IRLML2502TRPBF</t>
  </si>
  <si>
    <t>SOT-89</t>
  </si>
  <si>
    <t>Res0603</t>
  </si>
  <si>
    <t>RES 2512</t>
  </si>
  <si>
    <t>RES 0805</t>
  </si>
  <si>
    <t>Res-1206</t>
  </si>
  <si>
    <t>Solder Bridge</t>
  </si>
  <si>
    <t>8-WSON (2x2)</t>
  </si>
  <si>
    <t>TMC2130-LA-T</t>
  </si>
  <si>
    <t>XL4001E1</t>
  </si>
  <si>
    <t>Manufacturer Part Number</t>
  </si>
  <si>
    <t>GRM188R61E106MA73J</t>
  </si>
  <si>
    <t>CC0805MKX5R8BB226</t>
  </si>
  <si>
    <t>GCM21BC72A105KE36L</t>
  </si>
  <si>
    <t>06035A100JAT2A/4K</t>
  </si>
  <si>
    <t>CGA3E2X7R2A223K080AA</t>
  </si>
  <si>
    <t>CC1206KKX7RDBB102</t>
  </si>
  <si>
    <t>CC0603KRX7R0BB104</t>
  </si>
  <si>
    <t>C1608X5R1E475M080AC</t>
  </si>
  <si>
    <t>C2012X7S2A474K125AB</t>
  </si>
  <si>
    <t>PMEG3030EP-115</t>
  </si>
  <si>
    <t>AC0603JR-0710KL</t>
  </si>
  <si>
    <t>CRGH0603J100K</t>
  </si>
  <si>
    <t>CSRN2512FK75L0</t>
  </si>
  <si>
    <t>RC0603FR-071KL</t>
  </si>
  <si>
    <t>RC0603FR-0749K9L</t>
  </si>
  <si>
    <t>RC0603JR-07330RL</t>
  </si>
  <si>
    <t>RT0603BRE0722KL</t>
  </si>
  <si>
    <t>RC0603FR-072R2L</t>
  </si>
  <si>
    <t>RC0603FR-07100RL</t>
  </si>
  <si>
    <t>TPS62162DSGR</t>
  </si>
  <si>
    <t>Manufacturer</t>
  </si>
  <si>
    <t>Murata</t>
  </si>
  <si>
    <t>Yageo</t>
  </si>
  <si>
    <t>Ymin</t>
  </si>
  <si>
    <t>Kyocera AVX</t>
  </si>
  <si>
    <t>TDK</t>
  </si>
  <si>
    <t>NXP Semiconductors</t>
  </si>
  <si>
    <t>Tak Cheong</t>
  </si>
  <si>
    <t>Yangzhou</t>
  </si>
  <si>
    <t>RUILON</t>
  </si>
  <si>
    <t>RTLECS</t>
  </si>
  <si>
    <t>HANRUN</t>
  </si>
  <si>
    <t>Panasonic</t>
  </si>
  <si>
    <t>BOOMELEC</t>
  </si>
  <si>
    <t>TE Connectivity</t>
  </si>
  <si>
    <t>International Rectifier</t>
  </si>
  <si>
    <t>Changjiang Electronics Tech</t>
  </si>
  <si>
    <t>Stackpole Electronics</t>
  </si>
  <si>
    <t>UNI-ROYAL</t>
  </si>
  <si>
    <t>Texas Instruments</t>
  </si>
  <si>
    <t>Trinamic</t>
  </si>
  <si>
    <t>XLSEMI</t>
  </si>
  <si>
    <t>Comment</t>
  </si>
  <si>
    <t>10uF</t>
  </si>
  <si>
    <t>22uF</t>
  </si>
  <si>
    <t>100uF</t>
  </si>
  <si>
    <t>1uF</t>
  </si>
  <si>
    <t>10pF</t>
  </si>
  <si>
    <t>22nF</t>
  </si>
  <si>
    <t>1000pF</t>
  </si>
  <si>
    <t>0.1uF</t>
  </si>
  <si>
    <t>4.7uF</t>
  </si>
  <si>
    <t>470nF</t>
  </si>
  <si>
    <t>MMSZ5V6CW</t>
  </si>
  <si>
    <t>SMBJ43A</t>
  </si>
  <si>
    <t>2.2uH</t>
  </si>
  <si>
    <t>33µH</t>
  </si>
  <si>
    <t>BCX56</t>
  </si>
  <si>
    <t>10K</t>
  </si>
  <si>
    <t>100K</t>
  </si>
  <si>
    <t>75m</t>
  </si>
  <si>
    <t>9K</t>
  </si>
  <si>
    <t>1K</t>
  </si>
  <si>
    <t>49K9</t>
  </si>
  <si>
    <t>330R</t>
  </si>
  <si>
    <t>22k</t>
  </si>
  <si>
    <t>2.2R</t>
  </si>
  <si>
    <t>100R</t>
  </si>
  <si>
    <t>150m</t>
  </si>
  <si>
    <t>Quantity</t>
  </si>
  <si>
    <t>Alternate Part Number</t>
  </si>
  <si>
    <t>LCSC/Part Number</t>
  </si>
  <si>
    <t>Quantity/(500 Boards)</t>
  </si>
  <si>
    <t>Links</t>
  </si>
  <si>
    <t>Unit Cost/(500 Boards)</t>
  </si>
  <si>
    <t>Total Cost/(500 Boards)</t>
  </si>
  <si>
    <t>Remarks</t>
  </si>
  <si>
    <t>Reviewer Remarks</t>
  </si>
  <si>
    <t>LCSC</t>
  </si>
  <si>
    <t>C91606</t>
  </si>
  <si>
    <t>---------</t>
  </si>
  <si>
    <t>C487322</t>
  </si>
  <si>
    <t>Custom</t>
  </si>
  <si>
    <t>--------</t>
  </si>
  <si>
    <t>C487384</t>
  </si>
  <si>
    <t>Less Stock In LCSC</t>
  </si>
  <si>
    <t>C2842838</t>
  </si>
  <si>
    <t>C525235</t>
  </si>
  <si>
    <t>FN18N100J500PSG</t>
  </si>
  <si>
    <t>C21122</t>
  </si>
  <si>
    <t xml:space="preserve">CL10B223KB8NNNC
</t>
  </si>
  <si>
    <t>C23631</t>
  </si>
  <si>
    <t>-------</t>
  </si>
  <si>
    <t>C113803</t>
  </si>
  <si>
    <t>C69335</t>
  </si>
  <si>
    <t>C342818</t>
  </si>
  <si>
    <t>C255587</t>
  </si>
  <si>
    <t>C700475</t>
  </si>
  <si>
    <t>C10222</t>
  </si>
  <si>
    <t>C2589</t>
  </si>
  <si>
    <t>C24212</t>
  </si>
  <si>
    <t>C140867</t>
  </si>
  <si>
    <t xml:space="preserve">RL2512FK-070R075L
</t>
  </si>
  <si>
    <t>C705611</t>
  </si>
  <si>
    <t>C22548</t>
  </si>
  <si>
    <t>C114624</t>
  </si>
  <si>
    <t>C105879</t>
  </si>
  <si>
    <t>C705830</t>
  </si>
  <si>
    <t>C112307</t>
  </si>
  <si>
    <t>C110091</t>
  </si>
  <si>
    <t>1206W4F150LT5E</t>
  </si>
  <si>
    <t>C37936</t>
  </si>
  <si>
    <t>DO NOT MOUNT</t>
  </si>
  <si>
    <t xml:space="preserve">
QFN-36</t>
  </si>
  <si>
    <t>C915795</t>
  </si>
  <si>
    <t>CL21A226MAYNNNE</t>
  </si>
  <si>
    <t>C602037</t>
  </si>
  <si>
    <t xml:space="preserve">
SOD-523</t>
  </si>
  <si>
    <t>C345958</t>
  </si>
  <si>
    <t>C34677</t>
  </si>
  <si>
    <t>Aliexpress</t>
  </si>
  <si>
    <t>C375949</t>
  </si>
  <si>
    <t>PSA</t>
  </si>
  <si>
    <t>C86471</t>
  </si>
  <si>
    <t xml:space="preserve">Total Component Cost </t>
  </si>
  <si>
    <t>Single Board Cost</t>
  </si>
  <si>
    <t>Aliexpress Shipping Cost</t>
  </si>
  <si>
    <t>SOIC-8</t>
  </si>
  <si>
    <t>Item Type</t>
  </si>
  <si>
    <t>Capacitor</t>
  </si>
  <si>
    <t>Diode</t>
  </si>
  <si>
    <t>Connector</t>
  </si>
  <si>
    <t>Inductor</t>
  </si>
  <si>
    <t>Mosfet</t>
  </si>
  <si>
    <t>Transistor</t>
  </si>
  <si>
    <t>Resistor</t>
  </si>
  <si>
    <t>IC</t>
  </si>
  <si>
    <t xml:space="preserve">Is Part ki cost zayada ha kia hum is part ko local part se replays kr sakte han </t>
  </si>
  <si>
    <t>ARG05BTC9001N</t>
  </si>
  <si>
    <t>Viking Tech</t>
  </si>
  <si>
    <t>C2828721</t>
  </si>
  <si>
    <t>0805W8F9001T5E</t>
  </si>
  <si>
    <t>RTT03104JTP</t>
  </si>
  <si>
    <t>C103211</t>
  </si>
  <si>
    <t>26-pin Dual Row (13 x 2), P=2.54mm Female Headers,SMD,ROHS</t>
  </si>
  <si>
    <t>LCSC/MOQ/(500 Boards)</t>
  </si>
  <si>
    <t>Test Point</t>
  </si>
  <si>
    <t>Custom Supplier</t>
  </si>
  <si>
    <t>Karen Quotes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</si>
</sst>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h:mm:ss\ AM/PM;@"/>
    <numFmt numFmtId="165" formatCode="&quot;$&quot;#,##0.0000"/>
    <numFmt numFmtId="166" formatCode="&quot;$&quot;#,##0.00"/>
  </numFmts>
  <fonts count="27" x14ac:knownFonts="1">
    <font>
      <sz val="11"/>
      <color theme="1"/>
      <name val="Calibri"/>
      <family val="2"/>
      <scheme val="minor"/>
    </font>
    <font>
      <sz val="10"/>
      <color indexed="13"/>
      <name val="Arial"/>
    </font>
    <font>
      <b/>
      <sz val="24"/>
      <color indexed="10"/>
      <name val="Arial"/>
      <family val="2"/>
    </font>
    <font>
      <b/>
      <sz val="12"/>
      <color indexed="13"/>
      <name val="Arial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name val="Calibri"/>
      <family val="2"/>
      <scheme val="minor"/>
    </font>
    <font>
      <u/>
      <sz val="9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u/>
      <sz val="9"/>
      <color rgb="FF80008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132">
    <xf numFmtId="0" fontId="0" fillId="0" borderId="0" xfId="0"/>
    <xf numFmtId="0" fontId="1" fillId="2" borderId="0" xfId="0" applyFont="1" applyFill="1" applyBorder="1" applyAlignment="1"/>
    <xf numFmtId="0" fontId="1" fillId="2" borderId="1" xfId="0" applyFont="1" applyFill="1" applyBorder="1" applyAlignment="1"/>
    <xf numFmtId="0" fontId="3" fillId="3" borderId="13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8" fillId="3" borderId="0" xfId="0" applyFont="1" applyFill="1" applyBorder="1" applyAlignment="1"/>
    <xf numFmtId="0" fontId="9" fillId="3" borderId="5" xfId="0" applyFont="1" applyFill="1" applyBorder="1" applyAlignment="1"/>
    <xf numFmtId="0" fontId="9" fillId="3" borderId="6" xfId="0" applyFont="1" applyFill="1" applyBorder="1" applyAlignment="1"/>
    <xf numFmtId="0" fontId="10" fillId="3" borderId="0" xfId="0" applyFont="1" applyFill="1" applyBorder="1" applyAlignment="1"/>
    <xf numFmtId="0" fontId="11" fillId="3" borderId="3" xfId="0" applyNumberFormat="1" applyFont="1" applyFill="1" applyBorder="1" applyAlignment="1" applyProtection="1">
      <alignment horizontal="left" vertical="top"/>
      <protection locked="0"/>
    </xf>
    <xf numFmtId="0" fontId="14" fillId="3" borderId="11" xfId="0" applyFont="1" applyFill="1" applyBorder="1" applyAlignment="1">
      <alignment vertical="center"/>
    </xf>
    <xf numFmtId="0" fontId="15" fillId="3" borderId="12" xfId="0" applyFont="1" applyFill="1" applyBorder="1" applyAlignment="1">
      <alignment vertical="center"/>
    </xf>
    <xf numFmtId="0" fontId="11" fillId="3" borderId="0" xfId="0" applyFont="1" applyFill="1" applyBorder="1" applyAlignment="1"/>
    <xf numFmtId="0" fontId="13" fillId="3" borderId="6" xfId="0" applyFont="1" applyFill="1" applyBorder="1" applyAlignment="1"/>
    <xf numFmtId="0" fontId="13" fillId="3" borderId="5" xfId="0" applyFont="1" applyFill="1" applyBorder="1" applyAlignment="1"/>
    <xf numFmtId="0" fontId="11" fillId="3" borderId="5" xfId="0" applyFont="1" applyFill="1" applyBorder="1" applyAlignment="1"/>
    <xf numFmtId="0" fontId="13" fillId="3" borderId="5" xfId="0" applyFont="1" applyFill="1" applyBorder="1" applyAlignment="1">
      <alignment horizontal="left"/>
    </xf>
    <xf numFmtId="0" fontId="16" fillId="3" borderId="0" xfId="0" applyFont="1" applyFill="1" applyBorder="1" applyAlignment="1"/>
    <xf numFmtId="0" fontId="13" fillId="3" borderId="1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3" borderId="7" xfId="0" applyFont="1" applyFill="1" applyBorder="1" applyAlignment="1">
      <alignment horizontal="center"/>
    </xf>
    <xf numFmtId="0" fontId="13" fillId="3" borderId="0" xfId="0" applyFont="1" applyFill="1" applyBorder="1" applyAlignment="1"/>
    <xf numFmtId="164" fontId="13" fillId="3" borderId="0" xfId="0" applyNumberFormat="1" applyFont="1" applyFill="1" applyBorder="1" applyAlignment="1">
      <alignment horizontal="left"/>
    </xf>
    <xf numFmtId="0" fontId="17" fillId="5" borderId="15" xfId="0" applyFont="1" applyFill="1" applyBorder="1" applyAlignment="1">
      <alignment horizontal="center" vertical="center"/>
    </xf>
    <xf numFmtId="0" fontId="17" fillId="5" borderId="12" xfId="0" applyFont="1" applyFill="1" applyBorder="1" applyAlignment="1">
      <alignment horizontal="center" vertical="center"/>
    </xf>
    <xf numFmtId="0" fontId="17" fillId="5" borderId="13" xfId="0" applyFont="1" applyFill="1" applyBorder="1" applyAlignment="1">
      <alignment horizontal="center" vertical="center"/>
    </xf>
    <xf numFmtId="0" fontId="11" fillId="3" borderId="10" xfId="0" applyNumberFormat="1" applyFont="1" applyFill="1" applyBorder="1" applyAlignment="1" applyProtection="1">
      <alignment horizontal="center" vertical="center"/>
      <protection locked="0"/>
    </xf>
    <xf numFmtId="0" fontId="11" fillId="3" borderId="11" xfId="0" applyNumberFormat="1" applyFont="1" applyFill="1" applyBorder="1" applyAlignment="1" applyProtection="1">
      <alignment vertical="center"/>
      <protection locked="0"/>
    </xf>
    <xf numFmtId="0" fontId="12" fillId="3" borderId="11" xfId="0" applyNumberFormat="1" applyFont="1" applyFill="1" applyBorder="1" applyAlignment="1" applyProtection="1">
      <alignment horizontal="left" vertical="center"/>
      <protection locked="0"/>
    </xf>
    <xf numFmtId="0" fontId="0" fillId="3" borderId="11" xfId="0" applyFont="1" applyFill="1" applyBorder="1" applyAlignment="1">
      <alignment vertical="center"/>
    </xf>
    <xf numFmtId="0" fontId="0" fillId="3" borderId="11" xfId="0" applyFont="1" applyFill="1" applyBorder="1"/>
    <xf numFmtId="0" fontId="11" fillId="5" borderId="15" xfId="0" applyFont="1" applyFill="1" applyBorder="1" applyAlignment="1">
      <alignment horizontal="center" vertical="center" wrapText="1"/>
    </xf>
    <xf numFmtId="0" fontId="15" fillId="3" borderId="12" xfId="0" quotePrefix="1" applyFont="1" applyFill="1" applyBorder="1" applyAlignment="1">
      <alignment vertical="center"/>
    </xf>
    <xf numFmtId="0" fontId="11" fillId="3" borderId="0" xfId="0" quotePrefix="1" applyFont="1" applyFill="1" applyBorder="1" applyAlignment="1">
      <alignment horizontal="left"/>
    </xf>
    <xf numFmtId="0" fontId="11" fillId="3" borderId="6" xfId="0" quotePrefix="1" applyFont="1" applyFill="1" applyBorder="1" applyAlignment="1">
      <alignment horizontal="left"/>
    </xf>
    <xf numFmtId="0" fontId="11" fillId="3" borderId="5" xfId="0" quotePrefix="1" applyFont="1" applyFill="1" applyBorder="1" applyAlignment="1">
      <alignment horizontal="left"/>
    </xf>
    <xf numFmtId="0" fontId="19" fillId="2" borderId="17" xfId="0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19" fillId="2" borderId="20" xfId="0" applyFont="1" applyFill="1" applyBorder="1" applyAlignment="1">
      <alignment horizontal="center" vertical="center" wrapText="1"/>
    </xf>
    <xf numFmtId="0" fontId="21" fillId="0" borderId="20" xfId="0" applyFont="1" applyBorder="1" applyAlignment="1">
      <alignment horizontal="center"/>
    </xf>
    <xf numFmtId="0" fontId="19" fillId="4" borderId="18" xfId="0" applyFont="1" applyFill="1" applyBorder="1" applyAlignment="1">
      <alignment horizontal="center" vertical="center" wrapText="1"/>
    </xf>
    <xf numFmtId="0" fontId="19" fillId="4" borderId="6" xfId="0" applyFont="1" applyFill="1" applyBorder="1" applyAlignment="1">
      <alignment horizontal="center" vertical="center" wrapText="1"/>
    </xf>
    <xf numFmtId="0" fontId="19" fillId="4" borderId="17" xfId="0" applyFont="1" applyFill="1" applyBorder="1" applyAlignment="1">
      <alignment horizontal="center" vertical="center" wrapText="1"/>
    </xf>
    <xf numFmtId="0" fontId="19" fillId="4" borderId="21" xfId="0" applyFont="1" applyFill="1" applyBorder="1" applyAlignment="1">
      <alignment horizontal="center" vertical="center" wrapText="1"/>
    </xf>
    <xf numFmtId="0" fontId="21" fillId="4" borderId="21" xfId="0" applyFont="1" applyFill="1" applyBorder="1" applyAlignment="1">
      <alignment horizontal="center"/>
    </xf>
    <xf numFmtId="0" fontId="19" fillId="2" borderId="17" xfId="0" quotePrefix="1" applyFont="1" applyFill="1" applyBorder="1" applyAlignment="1">
      <alignment horizontal="center" vertical="center" wrapText="1"/>
    </xf>
    <xf numFmtId="165" fontId="19" fillId="2" borderId="17" xfId="0" applyNumberFormat="1" applyFont="1" applyFill="1" applyBorder="1" applyAlignment="1">
      <alignment horizontal="center" vertical="center" wrapText="1"/>
    </xf>
    <xf numFmtId="165" fontId="19" fillId="4" borderId="18" xfId="0" applyNumberFormat="1" applyFont="1" applyFill="1" applyBorder="1" applyAlignment="1">
      <alignment horizontal="center" vertical="center" wrapText="1"/>
    </xf>
    <xf numFmtId="0" fontId="19" fillId="4" borderId="18" xfId="0" quotePrefix="1" applyFont="1" applyFill="1" applyBorder="1" applyAlignment="1">
      <alignment horizontal="center" vertical="center" wrapText="1"/>
    </xf>
    <xf numFmtId="165" fontId="19" fillId="4" borderId="17" xfId="0" applyNumberFormat="1" applyFont="1" applyFill="1" applyBorder="1" applyAlignment="1">
      <alignment horizontal="center" vertical="center" wrapText="1"/>
    </xf>
    <xf numFmtId="0" fontId="18" fillId="4" borderId="18" xfId="1" applyFill="1" applyBorder="1" applyAlignment="1">
      <alignment horizontal="center" vertical="center" wrapText="1"/>
    </xf>
    <xf numFmtId="0" fontId="19" fillId="2" borderId="18" xfId="0" quotePrefix="1" applyFont="1" applyFill="1" applyBorder="1" applyAlignment="1">
      <alignment horizontal="center" vertical="center" wrapText="1"/>
    </xf>
    <xf numFmtId="0" fontId="21" fillId="2" borderId="21" xfId="0" applyFont="1" applyFill="1" applyBorder="1" applyAlignment="1">
      <alignment horizontal="center"/>
    </xf>
    <xf numFmtId="0" fontId="19" fillId="2" borderId="4" xfId="0" applyFont="1" applyFill="1" applyBorder="1" applyAlignment="1">
      <alignment horizontal="center" vertical="center" wrapText="1"/>
    </xf>
    <xf numFmtId="0" fontId="19" fillId="4" borderId="18" xfId="0" applyFont="1" applyFill="1" applyBorder="1" applyAlignment="1">
      <alignment horizontal="center" vertical="center"/>
    </xf>
    <xf numFmtId="0" fontId="19" fillId="2" borderId="23" xfId="0" quotePrefix="1" applyFont="1" applyFill="1" applyBorder="1" applyAlignment="1">
      <alignment horizontal="center" vertical="center" wrapText="1"/>
    </xf>
    <xf numFmtId="0" fontId="19" fillId="4" borderId="19" xfId="0" applyFont="1" applyFill="1" applyBorder="1" applyAlignment="1">
      <alignment horizontal="center" vertical="center" wrapText="1"/>
    </xf>
    <xf numFmtId="0" fontId="19" fillId="4" borderId="4" xfId="0" applyFont="1" applyFill="1" applyBorder="1" applyAlignment="1">
      <alignment horizontal="center" vertical="center" wrapText="1"/>
    </xf>
    <xf numFmtId="0" fontId="18" fillId="2" borderId="17" xfId="1" applyFill="1" applyBorder="1" applyAlignment="1">
      <alignment horizontal="center" vertical="center" wrapText="1"/>
    </xf>
    <xf numFmtId="0" fontId="20" fillId="4" borderId="18" xfId="1" applyFont="1" applyFill="1" applyBorder="1" applyAlignment="1">
      <alignment horizontal="center" vertical="center" wrapText="1"/>
    </xf>
    <xf numFmtId="0" fontId="21" fillId="2" borderId="18" xfId="0" quotePrefix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0" fillId="2" borderId="17" xfId="1" applyFont="1" applyFill="1" applyBorder="1" applyAlignment="1">
      <alignment horizontal="center" vertical="center" wrapText="1"/>
    </xf>
    <xf numFmtId="0" fontId="17" fillId="5" borderId="24" xfId="0" applyFont="1" applyFill="1" applyBorder="1" applyAlignment="1">
      <alignment horizontal="center" vertical="center"/>
    </xf>
    <xf numFmtId="0" fontId="19" fillId="2" borderId="7" xfId="0" quotePrefix="1" applyFont="1" applyFill="1" applyBorder="1" applyAlignment="1">
      <alignment horizontal="center" vertical="center" wrapText="1"/>
    </xf>
    <xf numFmtId="0" fontId="20" fillId="2" borderId="18" xfId="1" quotePrefix="1" applyFont="1" applyFill="1" applyBorder="1" applyAlignment="1">
      <alignment horizontal="center" vertical="center"/>
    </xf>
    <xf numFmtId="0" fontId="24" fillId="2" borderId="18" xfId="1" quotePrefix="1" applyFont="1" applyFill="1" applyBorder="1" applyAlignment="1">
      <alignment horizontal="center" vertical="center"/>
    </xf>
    <xf numFmtId="0" fontId="24" fillId="4" borderId="18" xfId="1" quotePrefix="1" applyFont="1" applyFill="1" applyBorder="1" applyAlignment="1">
      <alignment horizontal="center" vertical="center"/>
    </xf>
    <xf numFmtId="165" fontId="20" fillId="2" borderId="18" xfId="1" applyNumberFormat="1" applyFont="1" applyFill="1" applyBorder="1" applyAlignment="1">
      <alignment horizontal="center" vertical="center"/>
    </xf>
    <xf numFmtId="0" fontId="20" fillId="4" borderId="18" xfId="1" applyFont="1" applyFill="1" applyBorder="1" applyAlignment="1">
      <alignment horizontal="center" vertical="center"/>
    </xf>
    <xf numFmtId="165" fontId="20" fillId="4" borderId="18" xfId="1" applyNumberFormat="1" applyFont="1" applyFill="1" applyBorder="1" applyAlignment="1">
      <alignment horizontal="center" vertical="center"/>
    </xf>
    <xf numFmtId="0" fontId="18" fillId="2" borderId="17" xfId="1" quotePrefix="1" applyFill="1" applyBorder="1" applyAlignment="1">
      <alignment horizontal="center" vertical="center"/>
    </xf>
    <xf numFmtId="0" fontId="18" fillId="2" borderId="18" xfId="1" applyFill="1" applyBorder="1" applyAlignment="1">
      <alignment horizontal="center" vertical="center"/>
    </xf>
    <xf numFmtId="0" fontId="18" fillId="4" borderId="18" xfId="1" quotePrefix="1" applyFill="1" applyBorder="1" applyAlignment="1">
      <alignment horizontal="center" vertical="center"/>
    </xf>
    <xf numFmtId="165" fontId="20" fillId="4" borderId="25" xfId="1" applyNumberFormat="1" applyFont="1" applyFill="1" applyBorder="1" applyAlignment="1">
      <alignment horizontal="center" vertical="center"/>
    </xf>
    <xf numFmtId="0" fontId="24" fillId="4" borderId="17" xfId="1" quotePrefix="1" applyFont="1" applyFill="1" applyBorder="1" applyAlignment="1">
      <alignment horizontal="center" vertical="center"/>
    </xf>
    <xf numFmtId="165" fontId="24" fillId="2" borderId="25" xfId="1" applyNumberFormat="1" applyFont="1" applyFill="1" applyBorder="1" applyAlignment="1">
      <alignment horizontal="center" vertical="center"/>
    </xf>
    <xf numFmtId="0" fontId="20" fillId="2" borderId="18" xfId="1" applyFont="1" applyFill="1" applyBorder="1" applyAlignment="1">
      <alignment horizontal="center" vertical="center"/>
    </xf>
    <xf numFmtId="0" fontId="20" fillId="4" borderId="18" xfId="1" quotePrefix="1" applyFont="1" applyFill="1" applyBorder="1" applyAlignment="1">
      <alignment horizontal="center" vertical="center"/>
    </xf>
    <xf numFmtId="0" fontId="24" fillId="2" borderId="17" xfId="1" quotePrefix="1" applyFont="1" applyFill="1" applyBorder="1" applyAlignment="1">
      <alignment horizontal="center" vertical="center"/>
    </xf>
    <xf numFmtId="166" fontId="15" fillId="3" borderId="15" xfId="0" quotePrefix="1" applyNumberFormat="1" applyFont="1" applyFill="1" applyBorder="1" applyAlignment="1">
      <alignment horizontal="center" vertical="center" wrapText="1"/>
    </xf>
    <xf numFmtId="166" fontId="15" fillId="3" borderId="26" xfId="0" applyNumberFormat="1" applyFont="1" applyFill="1" applyBorder="1" applyAlignment="1">
      <alignment horizontal="center" vertical="center"/>
    </xf>
    <xf numFmtId="166" fontId="15" fillId="3" borderId="26" xfId="0" quotePrefix="1" applyNumberFormat="1" applyFont="1" applyFill="1" applyBorder="1" applyAlignment="1">
      <alignment horizontal="center" vertical="center" wrapText="1"/>
    </xf>
    <xf numFmtId="0" fontId="19" fillId="4" borderId="26" xfId="0" applyFont="1" applyFill="1" applyBorder="1" applyAlignment="1">
      <alignment horizontal="center" vertical="center" wrapText="1"/>
    </xf>
    <xf numFmtId="165" fontId="19" fillId="4" borderId="6" xfId="0" applyNumberFormat="1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6" fillId="3" borderId="0" xfId="0" applyFont="1" applyFill="1" applyBorder="1" applyAlignment="1">
      <alignment horizontal="center"/>
    </xf>
    <xf numFmtId="0" fontId="5" fillId="3" borderId="0" xfId="0" applyFont="1" applyFill="1" applyBorder="1" applyAlignment="1">
      <alignment horizontal="center"/>
    </xf>
    <xf numFmtId="0" fontId="11" fillId="3" borderId="11" xfId="0" applyNumberFormat="1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>
      <alignment horizontal="center" vertical="center" wrapText="1"/>
    </xf>
    <xf numFmtId="0" fontId="15" fillId="5" borderId="15" xfId="0" applyFont="1" applyFill="1" applyBorder="1" applyAlignment="1">
      <alignment horizontal="center" vertical="center" wrapText="1"/>
    </xf>
    <xf numFmtId="0" fontId="21" fillId="4" borderId="6" xfId="0" applyFont="1" applyFill="1" applyBorder="1" applyAlignment="1">
      <alignment horizontal="center" vertical="center"/>
    </xf>
    <xf numFmtId="0" fontId="21" fillId="2" borderId="6" xfId="0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horizontal="center" vertical="center"/>
    </xf>
    <xf numFmtId="0" fontId="23" fillId="4" borderId="18" xfId="0" applyFont="1" applyFill="1" applyBorder="1" applyAlignment="1">
      <alignment horizontal="center" vertical="center" wrapText="1"/>
    </xf>
    <xf numFmtId="0" fontId="23" fillId="2" borderId="17" xfId="0" applyFont="1" applyFill="1" applyBorder="1" applyAlignment="1">
      <alignment horizontal="center" vertical="center" wrapText="1"/>
    </xf>
    <xf numFmtId="0" fontId="19" fillId="4" borderId="25" xfId="0" applyFont="1" applyFill="1" applyBorder="1" applyAlignment="1">
      <alignment horizontal="center" vertical="center" wrapText="1"/>
    </xf>
    <xf numFmtId="165" fontId="19" fillId="2" borderId="5" xfId="0" applyNumberFormat="1" applyFont="1" applyFill="1" applyBorder="1" applyAlignment="1">
      <alignment horizontal="center" vertical="center" wrapText="1"/>
    </xf>
    <xf numFmtId="0" fontId="19" fillId="2" borderId="0" xfId="0" quotePrefix="1" applyFont="1" applyFill="1" applyBorder="1" applyAlignment="1">
      <alignment horizontal="center" vertical="center" wrapText="1"/>
    </xf>
    <xf numFmtId="165" fontId="19" fillId="4" borderId="26" xfId="0" applyNumberFormat="1" applyFont="1" applyFill="1" applyBorder="1" applyAlignment="1">
      <alignment horizontal="center" vertical="center" wrapText="1"/>
    </xf>
    <xf numFmtId="0" fontId="0" fillId="3" borderId="8" xfId="0" applyFont="1" applyFill="1" applyBorder="1"/>
    <xf numFmtId="0" fontId="11" fillId="3" borderId="14" xfId="0" applyNumberFormat="1" applyFont="1" applyFill="1" applyBorder="1" applyAlignment="1" applyProtection="1">
      <alignment horizontal="center" vertical="center"/>
      <protection locked="0"/>
    </xf>
    <xf numFmtId="0" fontId="11" fillId="3" borderId="3" xfId="0" applyNumberFormat="1" applyFont="1" applyFill="1" applyBorder="1" applyAlignment="1" applyProtection="1">
      <alignment horizontal="center" vertical="center"/>
      <protection locked="0"/>
    </xf>
    <xf numFmtId="0" fontId="12" fillId="3" borderId="3" xfId="0" applyNumberFormat="1" applyFont="1" applyFill="1" applyBorder="1" applyAlignment="1" applyProtection="1">
      <alignment horizontal="left" vertical="center"/>
      <protection locked="0"/>
    </xf>
    <xf numFmtId="0" fontId="0" fillId="3" borderId="3" xfId="0" applyFont="1" applyFill="1" applyBorder="1" applyAlignment="1">
      <alignment vertical="center"/>
    </xf>
    <xf numFmtId="0" fontId="0" fillId="3" borderId="3" xfId="0" applyFont="1" applyFill="1" applyBorder="1"/>
    <xf numFmtId="0" fontId="0" fillId="3" borderId="22" xfId="0" applyFont="1" applyFill="1" applyBorder="1"/>
    <xf numFmtId="0" fontId="22" fillId="4" borderId="18" xfId="0" applyFont="1" applyFill="1" applyBorder="1" applyAlignment="1">
      <alignment horizontal="center" vertical="center" wrapText="1"/>
    </xf>
    <xf numFmtId="0" fontId="22" fillId="2" borderId="17" xfId="0" applyFont="1" applyFill="1" applyBorder="1" applyAlignment="1">
      <alignment horizontal="center" vertical="center" wrapText="1"/>
    </xf>
    <xf numFmtId="0" fontId="26" fillId="4" borderId="18" xfId="0" applyFont="1" applyFill="1" applyBorder="1" applyAlignment="1">
      <alignment horizontal="center" vertical="center" wrapText="1"/>
    </xf>
    <xf numFmtId="0" fontId="22" fillId="2" borderId="23" xfId="0" quotePrefix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25" fillId="3" borderId="24" xfId="0" applyFont="1" applyFill="1" applyBorder="1" applyAlignment="1" applyProtection="1">
      <alignment horizontal="center" vertical="top"/>
      <protection locked="0"/>
    </xf>
    <xf numFmtId="0" fontId="25" fillId="3" borderId="12" xfId="0" applyFont="1" applyFill="1" applyBorder="1" applyAlignment="1" applyProtection="1">
      <alignment horizontal="center" vertical="top"/>
      <protection locked="0"/>
    </xf>
    <xf numFmtId="0" fontId="25" fillId="3" borderId="13" xfId="0" applyFont="1" applyFill="1" applyBorder="1" applyAlignment="1" applyProtection="1">
      <alignment horizontal="center" vertical="top"/>
      <protection locked="0"/>
    </xf>
    <xf numFmtId="0" fontId="17" fillId="3" borderId="10" xfId="0" applyFont="1" applyFill="1" applyBorder="1" applyAlignment="1">
      <alignment horizontal="center" vertical="center" wrapText="1"/>
    </xf>
    <xf numFmtId="0" fontId="17" fillId="3" borderId="8" xfId="0" applyFont="1" applyFill="1" applyBorder="1" applyAlignment="1">
      <alignment horizontal="center" vertical="center" wrapText="1"/>
    </xf>
    <xf numFmtId="0" fontId="17" fillId="3" borderId="14" xfId="0" applyFont="1" applyFill="1" applyBorder="1" applyAlignment="1">
      <alignment horizontal="center" vertical="center" wrapText="1"/>
    </xf>
    <xf numFmtId="0" fontId="17" fillId="3" borderId="22" xfId="0" applyFont="1" applyFill="1" applyBorder="1" applyAlignment="1">
      <alignment horizontal="center" vertical="center" wrapText="1"/>
    </xf>
    <xf numFmtId="0" fontId="15" fillId="5" borderId="16" xfId="0" applyFont="1" applyFill="1" applyBorder="1" applyAlignment="1">
      <alignment horizontal="center" vertical="center" wrapText="1"/>
    </xf>
    <xf numFmtId="0" fontId="15" fillId="5" borderId="23" xfId="0" applyFont="1" applyFill="1" applyBorder="1" applyAlignment="1">
      <alignment horizontal="center" vertical="center" wrapText="1"/>
    </xf>
    <xf numFmtId="0" fontId="15" fillId="5" borderId="26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1469350" y="620017"/>
          <a:ext cx="1714500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lcsc.com/product-detail/MOSFETs_Infineon-Technologies-IRLML2502TRPBF_C2589.html" TargetMode="External"/><Relationship Id="rId18" Type="http://schemas.openxmlformats.org/officeDocument/2006/relationships/hyperlink" Target="https://www.lcsc.com/product-detail/Chip-Resistor-Surface-Mount_YAGEO-RC0603FR-0749K9L_C114624.html" TargetMode="External"/><Relationship Id="rId26" Type="http://schemas.openxmlformats.org/officeDocument/2006/relationships/hyperlink" Target="https://www.lcsc.com/product-detail/Schottky-Barrier-Diodes-SBD_Shikues-MSK4010_C345958.html" TargetMode="External"/><Relationship Id="rId3" Type="http://schemas.openxmlformats.org/officeDocument/2006/relationships/hyperlink" Target="https://lcsc.com/product-detail/old-batch_Murata-Electronics-GCM21BC72A105KE36L_C2842838.html" TargetMode="External"/><Relationship Id="rId21" Type="http://schemas.openxmlformats.org/officeDocument/2006/relationships/hyperlink" Target="https://lcsc.com/product-detail/Chip-Resistor-Surface-Mount_YAGEO-RC0603FR-072R2L_C112307.html" TargetMode="External"/><Relationship Id="rId34" Type="http://schemas.openxmlformats.org/officeDocument/2006/relationships/hyperlink" Target="https://www.lcsc.com/product-detail/Chip-span-style-background-color-ff0-Resistor-span-Surface-Mount_RALEC-RTT03104JTP_C103211.html" TargetMode="External"/><Relationship Id="rId7" Type="http://schemas.openxmlformats.org/officeDocument/2006/relationships/hyperlink" Target="https://lcsc.com/product-detail/Multilayer-Ceramic-Capacitors-MLCC-SMD-SMT_YAGEO-CC0603KRX7R0BB104_C113803.html" TargetMode="External"/><Relationship Id="rId12" Type="http://schemas.openxmlformats.org/officeDocument/2006/relationships/hyperlink" Target="https://lcsc.com/product-detail/TVS_RUILON-Shenzhen-Ruilongyuan-Elec-SMBJ43A_C10222.html" TargetMode="External"/><Relationship Id="rId17" Type="http://schemas.openxmlformats.org/officeDocument/2006/relationships/hyperlink" Target="https://www.lcsc.com/product-detail/Chip-Resistor-Surface-Mount_YAGEO-RC0603FR-071KL_C22548.html" TargetMode="External"/><Relationship Id="rId25" Type="http://schemas.openxmlformats.org/officeDocument/2006/relationships/hyperlink" Target="https://www.lcsc.com/product-detail/Multilayer-Ceramic-Capacitors-MLCC-SMD-SMT_Samsung-Electro-Mechanics-CL21A226MAYNNNE_C602037.html" TargetMode="External"/><Relationship Id="rId33" Type="http://schemas.openxmlformats.org/officeDocument/2006/relationships/hyperlink" Target="https://www.lcsc.com/product-detail/Chip-span-style-background-color-ff0-Resistor-span-Surface-Mount_Viking-Tech-ARG05BTC9001N_C2828721.html" TargetMode="External"/><Relationship Id="rId2" Type="http://schemas.openxmlformats.org/officeDocument/2006/relationships/hyperlink" Target="https://www.lcsc.com/product-detail/Aluminum-Electrolytic-Capacitors-SMD_Ymin-VKMB1001E101MV_C487322.html" TargetMode="External"/><Relationship Id="rId16" Type="http://schemas.openxmlformats.org/officeDocument/2006/relationships/hyperlink" Target="https://www.lcsc.com/product-detail/Chip-span-style-background-color-ff0-Resistor-span-Surface-Mount_YAGEO-RL2512FK-070R075L_C705611.html" TargetMode="External"/><Relationship Id="rId20" Type="http://schemas.openxmlformats.org/officeDocument/2006/relationships/hyperlink" Target="https://lcsc.com/product-detail/Chip-span-style-background-color-ff0-Resistor-span-Surface-Mount_YAGEO-RT0603BRE0722KL_C705830.html" TargetMode="External"/><Relationship Id="rId29" Type="http://schemas.openxmlformats.org/officeDocument/2006/relationships/hyperlink" Target="https://lcsc.com/product-detail/Others_Prosperity-Dielectrics-MCS20FC-2R2MMP_C375949.html" TargetMode="External"/><Relationship Id="rId1" Type="http://schemas.openxmlformats.org/officeDocument/2006/relationships/hyperlink" Target="https://lcsc.com/product-detail/Multilayer-Ceramic-Capacitors-MLCC-SMD-SMT_muRata_GRM188R61E106MA73D_10uF-106-20-25V_C91606.html'" TargetMode="External"/><Relationship Id="rId6" Type="http://schemas.openxmlformats.org/officeDocument/2006/relationships/hyperlink" Target="https://www.lcsc.com/product-detail/Multilayer-Ceramic-Capacitors-MLCC-SMD-SMT_YAGEO-CC1206KKX7RDBB102_C23631.html" TargetMode="External"/><Relationship Id="rId11" Type="http://schemas.openxmlformats.org/officeDocument/2006/relationships/hyperlink" Target="https://lcsc.com/product-detail/Zener-Diodes_Yangzhou-Yangjie-Elec-Tech-MMSZ5V6CW_C700475.html" TargetMode="External"/><Relationship Id="rId24" Type="http://schemas.openxmlformats.org/officeDocument/2006/relationships/hyperlink" Target="https://lcsc.com/product-detail/Motor-Driver-ICs_TRINAMIC-Motion-Control-GmbH-TMC2130-LA-T_C915795.html" TargetMode="External"/><Relationship Id="rId32" Type="http://schemas.openxmlformats.org/officeDocument/2006/relationships/hyperlink" Target="https://tr.aliexpress.com/item/32814431059.html" TargetMode="External"/><Relationship Id="rId5" Type="http://schemas.openxmlformats.org/officeDocument/2006/relationships/hyperlink" Target="https://www.lcsc.com/product-detail/Multilayer-Ceramic-Capacitors-MLCC-SMD-SMT_Samsung-Electro-Mechanics-CL10B223KB8NNNC_C21122.html" TargetMode="External"/><Relationship Id="rId15" Type="http://schemas.openxmlformats.org/officeDocument/2006/relationships/hyperlink" Target="https://www.lcsc.com/product-detail/Chip-Resistor-Surface-Mount_YAGEO-AC0603JR-0710KL_C140867.html" TargetMode="External"/><Relationship Id="rId23" Type="http://schemas.openxmlformats.org/officeDocument/2006/relationships/hyperlink" Target="https://lcsc.com/product-detail/Chip-span-style-background-color-ff0-Resistor-span-Surface-Mount_UNI-ROYAL-Uniroyal-Elec-1206W4F150LT5E_C37936.html" TargetMode="External"/><Relationship Id="rId28" Type="http://schemas.openxmlformats.org/officeDocument/2006/relationships/hyperlink" Target="https://www.aliexpress.com/item/32727363517.html?spm=a2g0o.productlist.0.0.713a752dLtqKvq&amp;algo_pvid=75a9fd63-31f4-4f03-9ae6-e55dd07e6d7f&amp;algo_exp_id=75a9fd63-31f4-4f03-9ae6-e55dd07e6d7f-2&amp;pdp_ext_f=%7B%22sku_id%22%3A%2261240561970%22%7D" TargetMode="External"/><Relationship Id="rId36" Type="http://schemas.openxmlformats.org/officeDocument/2006/relationships/drawing" Target="../drawings/drawing1.xml"/><Relationship Id="rId10" Type="http://schemas.openxmlformats.org/officeDocument/2006/relationships/hyperlink" Target="https://www.lcsc.com/product-detail/Schottky-Barrier-Diodes-SBD_Nexperia-PMEG3030EP-115_C255587.html" TargetMode="External"/><Relationship Id="rId19" Type="http://schemas.openxmlformats.org/officeDocument/2006/relationships/hyperlink" Target="https://www.lcsc.com/product-detail/Chip-Resistor-Surface-Mount_YAGEO-RC0603JR-07330RL_C105879.html" TargetMode="External"/><Relationship Id="rId31" Type="http://schemas.openxmlformats.org/officeDocument/2006/relationships/hyperlink" Target="https://www.lcsc.com/product-detail/Pin-Headers_TE-Connectivity-826629-2_C86471.html" TargetMode="External"/><Relationship Id="rId4" Type="http://schemas.openxmlformats.org/officeDocument/2006/relationships/hyperlink" Target="https://lcsc.com/product-detail/Multilayer-Ceramic-Capacitors-MLCC-SMD-SMT_PSA-Prosperity-Dielectrics-FN18N100J500PSG_C525235.html" TargetMode="External"/><Relationship Id="rId9" Type="http://schemas.openxmlformats.org/officeDocument/2006/relationships/hyperlink" Target="https://lcsc.com/product-detail/Multilayer-Ceramic-Capacitors-MLCC-SMD-SMT_TDK-C2012X7S2A474KT000N_C342818.html" TargetMode="External"/><Relationship Id="rId14" Type="http://schemas.openxmlformats.org/officeDocument/2006/relationships/hyperlink" Target="https://lcsc.com/product-detail/Bipolar-Transistors-BJT_Changjiang-Electronics-Tech-CJ-BCX56_C24212.html" TargetMode="External"/><Relationship Id="rId22" Type="http://schemas.openxmlformats.org/officeDocument/2006/relationships/hyperlink" Target="https://lcsc.com/product-detail/Chip-Resistor-Surface-Mount_YAGEO-RC0603JR-07100RL_C110091.html" TargetMode="External"/><Relationship Id="rId27" Type="http://schemas.openxmlformats.org/officeDocument/2006/relationships/hyperlink" Target="https://www.lcsc.com/product-detail/Ethernet-Connectors-Modular-Connectors-RJ45-RJ11_HANRUN-Zhongshan-HanRun-Elec-HY951180A_C34677.html" TargetMode="External"/><Relationship Id="rId30" Type="http://schemas.openxmlformats.org/officeDocument/2006/relationships/hyperlink" Target="https://lcsc.com/product-detail/Pin-Headers_BOOMELE-Boom-Precision-Elec-C37208_C37208.html" TargetMode="External"/><Relationship Id="rId35" Type="http://schemas.openxmlformats.org/officeDocument/2006/relationships/printerSettings" Target="../printerSettings/printerSettings1.bin"/><Relationship Id="rId8" Type="http://schemas.openxmlformats.org/officeDocument/2006/relationships/hyperlink" Target="https://lcsc.com/product-detail/Multilayer-Ceramic-Capacitors-MLCC-SMD-SMT_Samsung-Electro-Mechanics-CL10A475KA8NQNC_C69335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2"/>
  <sheetViews>
    <sheetView tabSelected="1" topLeftCell="N10" zoomScaleNormal="100" workbookViewId="0">
      <selection activeCell="T21" sqref="T21"/>
    </sheetView>
  </sheetViews>
  <sheetFormatPr defaultRowHeight="15" x14ac:dyDescent="0.25"/>
  <cols>
    <col min="2" max="2" width="3.140625" style="24" customWidth="1"/>
    <col min="3" max="3" width="16.7109375" style="24" customWidth="1"/>
    <col min="4" max="4" width="36" bestFit="1" customWidth="1"/>
    <col min="5" max="5" width="31.7109375" customWidth="1"/>
    <col min="6" max="6" width="26.5703125" bestFit="1" customWidth="1"/>
    <col min="7" max="7" width="33.42578125" bestFit="1" customWidth="1"/>
    <col min="8" max="8" width="21.5703125" bestFit="1" customWidth="1"/>
    <col min="9" max="9" width="18.7109375" bestFit="1" customWidth="1"/>
    <col min="10" max="10" width="21.42578125" customWidth="1"/>
    <col min="11" max="11" width="9.7109375" bestFit="1" customWidth="1"/>
    <col min="12" max="12" width="8.7109375" bestFit="1" customWidth="1"/>
    <col min="13" max="13" width="20.7109375" bestFit="1" customWidth="1"/>
    <col min="14" max="14" width="22.85546875" bestFit="1" customWidth="1"/>
    <col min="15" max="15" width="15.7109375" bestFit="1" customWidth="1"/>
    <col min="16" max="16" width="21.140625" bestFit="1" customWidth="1"/>
    <col min="17" max="17" width="21.85546875" bestFit="1" customWidth="1"/>
    <col min="18" max="18" width="18" customWidth="1"/>
    <col min="19" max="19" width="26.85546875" bestFit="1" customWidth="1"/>
  </cols>
  <sheetData>
    <row r="1" spans="1:19" ht="15.75" thickBot="1" x14ac:dyDescent="0.3">
      <c r="A1" s="1"/>
      <c r="B1" s="19"/>
      <c r="C1" s="19"/>
      <c r="D1" s="2"/>
      <c r="E1" s="2"/>
      <c r="F1" s="2"/>
      <c r="G1" s="2"/>
      <c r="H1" s="2"/>
      <c r="I1" s="2"/>
      <c r="J1" s="2"/>
      <c r="K1" s="118"/>
      <c r="L1" s="118"/>
      <c r="M1" s="118"/>
      <c r="N1" s="118"/>
      <c r="O1" s="118"/>
      <c r="P1" s="118"/>
      <c r="Q1" s="118"/>
      <c r="R1" s="118"/>
      <c r="S1" s="119"/>
    </row>
    <row r="2" spans="1:19" ht="32.25" thickBot="1" x14ac:dyDescent="0.3">
      <c r="A2" s="1"/>
      <c r="B2" s="20"/>
      <c r="C2" s="90"/>
      <c r="D2" s="10" t="s">
        <v>0</v>
      </c>
      <c r="E2" s="10"/>
      <c r="F2" s="37" t="s">
        <v>7</v>
      </c>
      <c r="G2" s="11"/>
      <c r="H2" s="11"/>
      <c r="I2" s="4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1"/>
      <c r="C3" s="91"/>
      <c r="D3" s="12" t="s">
        <v>1</v>
      </c>
      <c r="E3" s="12"/>
      <c r="F3" s="38" t="s">
        <v>8</v>
      </c>
      <c r="G3" s="12"/>
      <c r="H3" s="12"/>
      <c r="I3" s="5"/>
      <c r="J3" s="5"/>
      <c r="K3" s="5"/>
      <c r="L3" s="5"/>
      <c r="M3" s="5"/>
      <c r="N3" s="5"/>
      <c r="O3" s="5"/>
      <c r="P3" s="5"/>
      <c r="Q3" s="5"/>
      <c r="R3" s="5"/>
      <c r="S3" s="120"/>
    </row>
    <row r="4" spans="1:19" x14ac:dyDescent="0.25">
      <c r="A4" s="1"/>
      <c r="B4" s="21"/>
      <c r="C4" s="91"/>
      <c r="D4" s="12" t="s">
        <v>2</v>
      </c>
      <c r="E4" s="12"/>
      <c r="F4" s="39" t="s">
        <v>8</v>
      </c>
      <c r="G4" s="13"/>
      <c r="H4" s="13"/>
      <c r="I4" s="7"/>
      <c r="J4" s="7"/>
      <c r="K4" s="7"/>
      <c r="L4" s="6"/>
      <c r="M4" s="6"/>
      <c r="N4" s="6"/>
      <c r="O4" s="6"/>
      <c r="P4" s="6"/>
      <c r="Q4" s="6"/>
      <c r="R4" s="6"/>
      <c r="S4" s="121"/>
    </row>
    <row r="5" spans="1:19" x14ac:dyDescent="0.25">
      <c r="A5" s="1"/>
      <c r="B5" s="21"/>
      <c r="C5" s="91"/>
      <c r="D5" s="12" t="s">
        <v>3</v>
      </c>
      <c r="E5" s="12"/>
      <c r="F5" s="40" t="s">
        <v>9</v>
      </c>
      <c r="G5" s="14"/>
      <c r="H5" s="14"/>
      <c r="I5" s="6"/>
      <c r="J5" s="6"/>
      <c r="K5" s="6"/>
      <c r="L5" s="6"/>
      <c r="M5" s="6"/>
      <c r="N5" s="6"/>
      <c r="O5" s="6"/>
      <c r="P5" s="6"/>
      <c r="Q5" s="6"/>
      <c r="R5" s="6"/>
      <c r="S5" s="121"/>
    </row>
    <row r="6" spans="1:19" x14ac:dyDescent="0.25">
      <c r="A6" s="1"/>
      <c r="B6" s="22"/>
      <c r="C6" s="92"/>
      <c r="D6" s="15"/>
      <c r="E6" s="15"/>
      <c r="F6" s="16"/>
      <c r="G6" s="14"/>
      <c r="H6" s="14"/>
      <c r="I6" s="6"/>
      <c r="J6" s="6"/>
      <c r="K6" s="6"/>
      <c r="L6" s="6"/>
      <c r="M6" s="6"/>
      <c r="N6" s="6"/>
      <c r="O6" s="6"/>
      <c r="P6" s="6"/>
      <c r="Q6" s="6"/>
      <c r="R6" s="6"/>
      <c r="S6" s="121"/>
    </row>
    <row r="7" spans="1:19" x14ac:dyDescent="0.25">
      <c r="A7" s="1"/>
      <c r="B7" s="23"/>
      <c r="C7" s="93"/>
      <c r="D7" s="17"/>
      <c r="E7" s="17"/>
      <c r="F7" s="18"/>
      <c r="G7" s="17"/>
      <c r="H7" s="17"/>
      <c r="I7" s="8"/>
      <c r="J7" s="8"/>
      <c r="K7" s="8"/>
      <c r="L7" s="8"/>
      <c r="M7" s="8"/>
      <c r="N7" s="8"/>
      <c r="O7" s="8"/>
      <c r="P7" s="8"/>
      <c r="Q7" s="8"/>
      <c r="R7" s="8"/>
      <c r="S7" s="121"/>
    </row>
    <row r="8" spans="1:19" ht="15.75" thickBot="1" x14ac:dyDescent="0.3">
      <c r="A8" s="1"/>
      <c r="B8" s="25"/>
      <c r="C8" s="94"/>
      <c r="D8" s="26"/>
      <c r="E8" s="26"/>
      <c r="F8" s="27"/>
      <c r="G8" s="17"/>
      <c r="H8" s="17"/>
      <c r="I8" s="8"/>
      <c r="J8" s="8"/>
      <c r="K8" s="8"/>
      <c r="L8" s="8"/>
      <c r="M8" s="8"/>
      <c r="N8" s="8"/>
      <c r="O8" s="8"/>
      <c r="P8" s="8"/>
      <c r="Q8" s="8"/>
      <c r="R8" s="8"/>
      <c r="S8" s="121"/>
    </row>
    <row r="9" spans="1:19" ht="15.75" thickBot="1" x14ac:dyDescent="0.3">
      <c r="A9" s="1"/>
      <c r="B9" s="28" t="s">
        <v>4</v>
      </c>
      <c r="C9" s="28" t="s">
        <v>247</v>
      </c>
      <c r="D9" s="28" t="s">
        <v>10</v>
      </c>
      <c r="E9" s="28" t="s">
        <v>51</v>
      </c>
      <c r="F9" s="29" t="s">
        <v>91</v>
      </c>
      <c r="G9" s="28" t="s">
        <v>118</v>
      </c>
      <c r="H9" s="28" t="s">
        <v>189</v>
      </c>
      <c r="I9" s="30" t="s">
        <v>139</v>
      </c>
      <c r="J9" s="28" t="s">
        <v>190</v>
      </c>
      <c r="K9" s="28" t="s">
        <v>161</v>
      </c>
      <c r="L9" s="29" t="s">
        <v>188</v>
      </c>
      <c r="M9" s="68" t="s">
        <v>191</v>
      </c>
      <c r="N9" s="28" t="s">
        <v>264</v>
      </c>
      <c r="O9" s="28" t="s">
        <v>192</v>
      </c>
      <c r="P9" s="29" t="s">
        <v>193</v>
      </c>
      <c r="Q9" s="28" t="s">
        <v>194</v>
      </c>
      <c r="R9" s="28" t="s">
        <v>195</v>
      </c>
      <c r="S9" s="30" t="s">
        <v>196</v>
      </c>
    </row>
    <row r="10" spans="1:19" ht="15.75" thickBot="1" x14ac:dyDescent="0.3">
      <c r="A10" s="1"/>
      <c r="B10" s="36">
        <f>ROW(B10) - ROW($B$9)</f>
        <v>1</v>
      </c>
      <c r="C10" s="129" t="s">
        <v>248</v>
      </c>
      <c r="D10" s="41" t="s">
        <v>11</v>
      </c>
      <c r="E10" s="41" t="s">
        <v>52</v>
      </c>
      <c r="F10" s="42" t="s">
        <v>92</v>
      </c>
      <c r="G10" s="41" t="s">
        <v>119</v>
      </c>
      <c r="H10" s="50" t="s">
        <v>199</v>
      </c>
      <c r="I10" s="43" t="s">
        <v>140</v>
      </c>
      <c r="J10" s="41" t="s">
        <v>198</v>
      </c>
      <c r="K10" s="41" t="s">
        <v>162</v>
      </c>
      <c r="L10" s="42">
        <v>1</v>
      </c>
      <c r="M10" s="58">
        <f>L10*500</f>
        <v>500</v>
      </c>
      <c r="N10" s="41">
        <v>520</v>
      </c>
      <c r="O10" s="70" t="s">
        <v>197</v>
      </c>
      <c r="P10" s="104">
        <v>2.3199999999999998E-2</v>
      </c>
      <c r="Q10" s="51">
        <f>P10*N10</f>
        <v>12.064</v>
      </c>
      <c r="R10" s="41"/>
      <c r="S10" s="44"/>
    </row>
    <row r="11" spans="1:19" ht="15.75" thickBot="1" x14ac:dyDescent="0.3">
      <c r="A11" s="1"/>
      <c r="B11" s="36">
        <f t="shared" ref="B11:B49" si="0">ROW(B11) - ROW($B$9)</f>
        <v>2</v>
      </c>
      <c r="C11" s="130"/>
      <c r="D11" s="45" t="s">
        <v>12</v>
      </c>
      <c r="E11" s="45" t="s">
        <v>53</v>
      </c>
      <c r="F11" s="46" t="s">
        <v>93</v>
      </c>
      <c r="G11" s="101" t="s">
        <v>120</v>
      </c>
      <c r="H11" s="45" t="s">
        <v>234</v>
      </c>
      <c r="I11" s="48" t="s">
        <v>141</v>
      </c>
      <c r="J11" s="45" t="s">
        <v>235</v>
      </c>
      <c r="K11" s="45" t="s">
        <v>163</v>
      </c>
      <c r="L11" s="46">
        <v>1</v>
      </c>
      <c r="M11" s="62">
        <f t="shared" ref="M11:M49" si="1">L11*500</f>
        <v>500</v>
      </c>
      <c r="N11" s="47">
        <v>520</v>
      </c>
      <c r="O11" s="64" t="s">
        <v>197</v>
      </c>
      <c r="P11" s="89">
        <v>1.4200000000000001E-2</v>
      </c>
      <c r="Q11" s="54">
        <f t="shared" ref="Q11:Q49" si="2">P11*N11</f>
        <v>7.3840000000000003</v>
      </c>
      <c r="R11" s="45"/>
      <c r="S11" s="49"/>
    </row>
    <row r="12" spans="1:19" ht="36.75" thickBot="1" x14ac:dyDescent="0.3">
      <c r="A12" s="1"/>
      <c r="B12" s="36">
        <f>ROW(B12) - ROW($B$9)</f>
        <v>3</v>
      </c>
      <c r="C12" s="130"/>
      <c r="D12" s="41" t="s">
        <v>13</v>
      </c>
      <c r="E12" s="41" t="s">
        <v>54</v>
      </c>
      <c r="F12" s="42" t="s">
        <v>201</v>
      </c>
      <c r="G12" s="41" t="s">
        <v>94</v>
      </c>
      <c r="H12" s="50" t="s">
        <v>202</v>
      </c>
      <c r="I12" s="43" t="s">
        <v>142</v>
      </c>
      <c r="J12" s="41" t="s">
        <v>200</v>
      </c>
      <c r="K12" s="41" t="s">
        <v>164</v>
      </c>
      <c r="L12" s="42">
        <v>1</v>
      </c>
      <c r="M12" s="58">
        <f t="shared" si="1"/>
        <v>500</v>
      </c>
      <c r="N12" s="41">
        <v>520</v>
      </c>
      <c r="O12" s="71" t="s">
        <v>197</v>
      </c>
      <c r="P12" s="104">
        <v>7.3599999999999999E-2</v>
      </c>
      <c r="Q12" s="51">
        <f t="shared" si="2"/>
        <v>38.271999999999998</v>
      </c>
      <c r="R12" s="41"/>
      <c r="S12" s="57"/>
    </row>
    <row r="13" spans="1:19" ht="24.75" thickBot="1" x14ac:dyDescent="0.3">
      <c r="A13" s="1"/>
      <c r="B13" s="36">
        <f t="shared" si="0"/>
        <v>4</v>
      </c>
      <c r="C13" s="130"/>
      <c r="D13" s="45" t="s">
        <v>14</v>
      </c>
      <c r="E13" s="45" t="s">
        <v>55</v>
      </c>
      <c r="F13" s="46" t="s">
        <v>201</v>
      </c>
      <c r="G13" s="45" t="s">
        <v>95</v>
      </c>
      <c r="H13" s="53" t="s">
        <v>202</v>
      </c>
      <c r="I13" s="48" t="s">
        <v>142</v>
      </c>
      <c r="J13" s="45" t="s">
        <v>203</v>
      </c>
      <c r="K13" s="45" t="s">
        <v>164</v>
      </c>
      <c r="L13" s="46">
        <v>3</v>
      </c>
      <c r="M13" s="62">
        <f t="shared" si="1"/>
        <v>1500</v>
      </c>
      <c r="N13" s="47">
        <v>1520</v>
      </c>
      <c r="O13" s="75" t="s">
        <v>266</v>
      </c>
      <c r="P13" s="89">
        <v>0.1</v>
      </c>
      <c r="Q13" s="54">
        <f t="shared" si="2"/>
        <v>152</v>
      </c>
      <c r="R13" s="114" t="s">
        <v>267</v>
      </c>
      <c r="S13" s="49"/>
    </row>
    <row r="14" spans="1:19" ht="15.75" thickBot="1" x14ac:dyDescent="0.3">
      <c r="A14" s="1"/>
      <c r="B14" s="36">
        <f>ROW(B14) - ROW($B$9)</f>
        <v>5</v>
      </c>
      <c r="C14" s="130"/>
      <c r="D14" s="41" t="s">
        <v>15</v>
      </c>
      <c r="E14" s="41" t="s">
        <v>56</v>
      </c>
      <c r="F14" s="42" t="s">
        <v>93</v>
      </c>
      <c r="G14" s="41" t="s">
        <v>121</v>
      </c>
      <c r="H14" s="50" t="s">
        <v>202</v>
      </c>
      <c r="I14" s="43" t="s">
        <v>140</v>
      </c>
      <c r="J14" s="41" t="s">
        <v>205</v>
      </c>
      <c r="K14" s="41" t="s">
        <v>165</v>
      </c>
      <c r="L14" s="42">
        <v>1</v>
      </c>
      <c r="M14" s="58">
        <f t="shared" si="1"/>
        <v>500</v>
      </c>
      <c r="N14" s="41">
        <v>520</v>
      </c>
      <c r="O14" s="73" t="s">
        <v>197</v>
      </c>
      <c r="P14" s="104">
        <v>7.2999999999999995E-2</v>
      </c>
      <c r="Q14" s="51">
        <f t="shared" si="2"/>
        <v>37.96</v>
      </c>
      <c r="R14" s="41"/>
      <c r="S14" s="57"/>
    </row>
    <row r="15" spans="1:19" ht="15.75" thickBot="1" x14ac:dyDescent="0.3">
      <c r="A15" s="1"/>
      <c r="B15" s="36">
        <f t="shared" si="0"/>
        <v>6</v>
      </c>
      <c r="C15" s="130"/>
      <c r="D15" s="45" t="s">
        <v>16</v>
      </c>
      <c r="E15" s="45" t="s">
        <v>57</v>
      </c>
      <c r="F15" s="46" t="s">
        <v>92</v>
      </c>
      <c r="G15" s="101" t="s">
        <v>122</v>
      </c>
      <c r="H15" s="45" t="s">
        <v>207</v>
      </c>
      <c r="I15" s="46" t="s">
        <v>143</v>
      </c>
      <c r="J15" s="46" t="s">
        <v>206</v>
      </c>
      <c r="K15" s="45" t="s">
        <v>166</v>
      </c>
      <c r="L15" s="46">
        <v>8</v>
      </c>
      <c r="M15" s="62">
        <f t="shared" si="1"/>
        <v>4000</v>
      </c>
      <c r="N15" s="47">
        <v>4100</v>
      </c>
      <c r="O15" s="74" t="s">
        <v>197</v>
      </c>
      <c r="P15" s="89">
        <v>2.5999999999999999E-3</v>
      </c>
      <c r="Q15" s="54">
        <f t="shared" si="2"/>
        <v>10.66</v>
      </c>
      <c r="R15" s="45"/>
      <c r="S15" s="49"/>
    </row>
    <row r="16" spans="1:19" ht="15.75" thickBot="1" x14ac:dyDescent="0.3">
      <c r="A16" s="1"/>
      <c r="B16" s="36">
        <f>ROW(B16) - ROW($B$9)</f>
        <v>7</v>
      </c>
      <c r="C16" s="130"/>
      <c r="D16" s="41" t="s">
        <v>17</v>
      </c>
      <c r="E16" s="41" t="s">
        <v>58</v>
      </c>
      <c r="F16" s="42" t="s">
        <v>92</v>
      </c>
      <c r="G16" s="102" t="s">
        <v>123</v>
      </c>
      <c r="H16" s="65" t="s">
        <v>209</v>
      </c>
      <c r="I16" s="43" t="s">
        <v>144</v>
      </c>
      <c r="J16" s="41" t="s">
        <v>208</v>
      </c>
      <c r="K16" s="41" t="s">
        <v>167</v>
      </c>
      <c r="L16" s="42">
        <v>3</v>
      </c>
      <c r="M16" s="58">
        <f t="shared" si="1"/>
        <v>1500</v>
      </c>
      <c r="N16" s="41">
        <v>1550</v>
      </c>
      <c r="O16" s="71" t="s">
        <v>197</v>
      </c>
      <c r="P16" s="104">
        <v>4.7999999999999996E-3</v>
      </c>
      <c r="Q16" s="51">
        <f t="shared" si="2"/>
        <v>7.4399999999999995</v>
      </c>
      <c r="R16" s="41"/>
      <c r="S16" s="57"/>
    </row>
    <row r="17" spans="1:19" ht="24.75" thickBot="1" x14ac:dyDescent="0.3">
      <c r="A17" s="1"/>
      <c r="B17" s="36">
        <f t="shared" si="0"/>
        <v>8</v>
      </c>
      <c r="C17" s="130"/>
      <c r="D17" s="45" t="s">
        <v>18</v>
      </c>
      <c r="E17" s="45" t="s">
        <v>59</v>
      </c>
      <c r="F17" s="46" t="s">
        <v>96</v>
      </c>
      <c r="G17" s="45" t="s">
        <v>124</v>
      </c>
      <c r="H17" s="53" t="s">
        <v>211</v>
      </c>
      <c r="I17" s="48" t="s">
        <v>141</v>
      </c>
      <c r="J17" s="45" t="s">
        <v>210</v>
      </c>
      <c r="K17" s="45" t="s">
        <v>168</v>
      </c>
      <c r="L17" s="46">
        <v>1</v>
      </c>
      <c r="M17" s="62">
        <f t="shared" si="1"/>
        <v>500</v>
      </c>
      <c r="N17" s="47">
        <v>550</v>
      </c>
      <c r="O17" s="64" t="s">
        <v>197</v>
      </c>
      <c r="P17" s="89">
        <v>9.4999999999999998E-3</v>
      </c>
      <c r="Q17" s="54">
        <f t="shared" si="2"/>
        <v>5.2249999999999996</v>
      </c>
      <c r="R17" s="45"/>
      <c r="S17" s="49"/>
    </row>
    <row r="18" spans="1:19" ht="15.75" thickBot="1" x14ac:dyDescent="0.3">
      <c r="A18" s="1"/>
      <c r="B18" s="36">
        <f>ROW(B18) - ROW($B$9)</f>
        <v>9</v>
      </c>
      <c r="C18" s="130"/>
      <c r="D18" s="41" t="s">
        <v>19</v>
      </c>
      <c r="E18" s="41" t="s">
        <v>60</v>
      </c>
      <c r="F18" s="42" t="s">
        <v>92</v>
      </c>
      <c r="G18" s="41" t="s">
        <v>125</v>
      </c>
      <c r="H18" s="50" t="s">
        <v>202</v>
      </c>
      <c r="I18" s="43" t="s">
        <v>141</v>
      </c>
      <c r="J18" s="41" t="s">
        <v>212</v>
      </c>
      <c r="K18" s="41" t="s">
        <v>169</v>
      </c>
      <c r="L18" s="42">
        <v>6</v>
      </c>
      <c r="M18" s="58">
        <f t="shared" si="1"/>
        <v>3000</v>
      </c>
      <c r="N18" s="41">
        <v>3100</v>
      </c>
      <c r="O18" s="73" t="s">
        <v>197</v>
      </c>
      <c r="P18" s="104">
        <v>4.7999999999999996E-3</v>
      </c>
      <c r="Q18" s="51">
        <f t="shared" si="2"/>
        <v>14.879999999999999</v>
      </c>
      <c r="R18" s="41"/>
      <c r="S18" s="57"/>
    </row>
    <row r="19" spans="1:19" ht="15.75" thickBot="1" x14ac:dyDescent="0.3">
      <c r="A19" s="1"/>
      <c r="B19" s="36">
        <f t="shared" si="0"/>
        <v>10</v>
      </c>
      <c r="C19" s="130"/>
      <c r="D19" s="45" t="s">
        <v>20</v>
      </c>
      <c r="E19" s="45" t="s">
        <v>61</v>
      </c>
      <c r="F19" s="46" t="s">
        <v>92</v>
      </c>
      <c r="G19" s="45" t="s">
        <v>126</v>
      </c>
      <c r="H19" s="53" t="s">
        <v>202</v>
      </c>
      <c r="I19" s="48" t="s">
        <v>144</v>
      </c>
      <c r="J19" s="45" t="s">
        <v>213</v>
      </c>
      <c r="K19" s="45" t="s">
        <v>170</v>
      </c>
      <c r="L19" s="46">
        <v>1</v>
      </c>
      <c r="M19" s="62">
        <f t="shared" si="1"/>
        <v>500</v>
      </c>
      <c r="N19" s="47">
        <v>520</v>
      </c>
      <c r="O19" s="75" t="s">
        <v>197</v>
      </c>
      <c r="P19" s="89">
        <v>1.6400000000000001E-2</v>
      </c>
      <c r="Q19" s="54">
        <f t="shared" si="2"/>
        <v>8.5280000000000005</v>
      </c>
      <c r="R19" s="45"/>
      <c r="S19" s="49"/>
    </row>
    <row r="20" spans="1:19" ht="15.75" thickBot="1" x14ac:dyDescent="0.3">
      <c r="A20" s="1"/>
      <c r="B20" s="36">
        <f>ROW(B20) - ROW($B$9)</f>
        <v>11</v>
      </c>
      <c r="C20" s="131"/>
      <c r="D20" s="41" t="s">
        <v>21</v>
      </c>
      <c r="E20" s="41" t="s">
        <v>62</v>
      </c>
      <c r="F20" s="42" t="s">
        <v>93</v>
      </c>
      <c r="G20" s="41" t="s">
        <v>127</v>
      </c>
      <c r="H20" s="50" t="s">
        <v>202</v>
      </c>
      <c r="I20" s="43" t="s">
        <v>144</v>
      </c>
      <c r="J20" s="41" t="s">
        <v>214</v>
      </c>
      <c r="K20" s="41" t="s">
        <v>171</v>
      </c>
      <c r="L20" s="42">
        <v>2</v>
      </c>
      <c r="M20" s="58">
        <f t="shared" si="1"/>
        <v>1000</v>
      </c>
      <c r="N20" s="41">
        <v>1020</v>
      </c>
      <c r="O20" s="73" t="s">
        <v>197</v>
      </c>
      <c r="P20" s="104">
        <v>7.7200000000000005E-2</v>
      </c>
      <c r="Q20" s="51">
        <f t="shared" si="2"/>
        <v>78.744</v>
      </c>
      <c r="R20" s="115" t="s">
        <v>204</v>
      </c>
      <c r="S20" s="57"/>
    </row>
    <row r="21" spans="1:19" ht="24.75" thickBot="1" x14ac:dyDescent="0.3">
      <c r="A21" s="1"/>
      <c r="B21" s="36">
        <f t="shared" si="0"/>
        <v>12</v>
      </c>
      <c r="C21" s="130" t="s">
        <v>249</v>
      </c>
      <c r="D21" s="45" t="s">
        <v>22</v>
      </c>
      <c r="E21" s="45" t="s">
        <v>63</v>
      </c>
      <c r="F21" s="46" t="s">
        <v>201</v>
      </c>
      <c r="G21" s="45" t="s">
        <v>128</v>
      </c>
      <c r="H21" s="53" t="s">
        <v>202</v>
      </c>
      <c r="I21" s="48" t="s">
        <v>145</v>
      </c>
      <c r="J21" s="45" t="s">
        <v>215</v>
      </c>
      <c r="K21" s="53" t="s">
        <v>202</v>
      </c>
      <c r="L21" s="46">
        <v>1</v>
      </c>
      <c r="M21" s="62">
        <f t="shared" si="1"/>
        <v>500</v>
      </c>
      <c r="N21" s="47">
        <v>510</v>
      </c>
      <c r="O21" s="75" t="s">
        <v>197</v>
      </c>
      <c r="P21" s="89">
        <v>0.26669999999999999</v>
      </c>
      <c r="Q21" s="54">
        <f t="shared" si="2"/>
        <v>136.017</v>
      </c>
      <c r="R21" s="45"/>
      <c r="S21" s="49"/>
    </row>
    <row r="22" spans="1:19" ht="24.75" thickBot="1" x14ac:dyDescent="0.3">
      <c r="A22" s="1"/>
      <c r="B22" s="36">
        <f>ROW(B22) - ROW($B$9)</f>
        <v>13</v>
      </c>
      <c r="C22" s="130"/>
      <c r="D22" s="41" t="s">
        <v>23</v>
      </c>
      <c r="E22" s="41" t="s">
        <v>64</v>
      </c>
      <c r="F22" s="66" t="s">
        <v>236</v>
      </c>
      <c r="G22" s="41" t="s">
        <v>97</v>
      </c>
      <c r="H22" s="50" t="s">
        <v>202</v>
      </c>
      <c r="I22" s="43" t="s">
        <v>146</v>
      </c>
      <c r="J22" s="41" t="s">
        <v>237</v>
      </c>
      <c r="K22" s="56" t="s">
        <v>202</v>
      </c>
      <c r="L22" s="42">
        <v>1</v>
      </c>
      <c r="M22" s="58">
        <f t="shared" si="1"/>
        <v>500</v>
      </c>
      <c r="N22" s="41">
        <v>520</v>
      </c>
      <c r="O22" s="67" t="s">
        <v>197</v>
      </c>
      <c r="P22" s="104">
        <v>2.6100000000000002E-2</v>
      </c>
      <c r="Q22" s="51">
        <f t="shared" si="2"/>
        <v>13.572000000000001</v>
      </c>
      <c r="R22" s="115"/>
      <c r="S22" s="57"/>
    </row>
    <row r="23" spans="1:19" ht="24.75" thickBot="1" x14ac:dyDescent="0.3">
      <c r="A23" s="1"/>
      <c r="B23" s="36">
        <f t="shared" si="0"/>
        <v>14</v>
      </c>
      <c r="C23" s="130"/>
      <c r="D23" s="45" t="s">
        <v>24</v>
      </c>
      <c r="E23" s="45" t="s">
        <v>65</v>
      </c>
      <c r="F23" s="46" t="s">
        <v>98</v>
      </c>
      <c r="G23" s="45" t="s">
        <v>172</v>
      </c>
      <c r="H23" s="53" t="s">
        <v>202</v>
      </c>
      <c r="I23" s="48" t="s">
        <v>147</v>
      </c>
      <c r="J23" s="45" t="s">
        <v>216</v>
      </c>
      <c r="K23" s="53" t="s">
        <v>202</v>
      </c>
      <c r="L23" s="46">
        <v>1</v>
      </c>
      <c r="M23" s="62">
        <f t="shared" si="1"/>
        <v>500</v>
      </c>
      <c r="N23" s="47">
        <v>550</v>
      </c>
      <c r="O23" s="75" t="s">
        <v>197</v>
      </c>
      <c r="P23" s="89">
        <v>1.78E-2</v>
      </c>
      <c r="Q23" s="54">
        <f t="shared" si="2"/>
        <v>9.7899999999999991</v>
      </c>
      <c r="R23" s="45"/>
      <c r="S23" s="49"/>
    </row>
    <row r="24" spans="1:19" ht="24.75" thickBot="1" x14ac:dyDescent="0.3">
      <c r="A24" s="1"/>
      <c r="B24" s="36">
        <f>ROW(B24) - ROW($B$9)</f>
        <v>15</v>
      </c>
      <c r="C24" s="130"/>
      <c r="D24" s="41" t="s">
        <v>25</v>
      </c>
      <c r="E24" s="41" t="s">
        <v>66</v>
      </c>
      <c r="F24" s="42" t="s">
        <v>99</v>
      </c>
      <c r="G24" s="41" t="s">
        <v>173</v>
      </c>
      <c r="H24" s="50" t="s">
        <v>202</v>
      </c>
      <c r="I24" s="43" t="s">
        <v>148</v>
      </c>
      <c r="J24" s="41" t="s">
        <v>217</v>
      </c>
      <c r="K24" s="56" t="s">
        <v>202</v>
      </c>
      <c r="L24" s="42">
        <v>1</v>
      </c>
      <c r="M24" s="58">
        <f t="shared" si="1"/>
        <v>500</v>
      </c>
      <c r="N24" s="41">
        <v>510</v>
      </c>
      <c r="O24" s="70" t="s">
        <v>197</v>
      </c>
      <c r="P24" s="104">
        <v>5.6599999999999998E-2</v>
      </c>
      <c r="Q24" s="51">
        <f t="shared" si="2"/>
        <v>28.866</v>
      </c>
      <c r="R24" s="41"/>
      <c r="S24" s="57"/>
    </row>
    <row r="25" spans="1:19" ht="24.75" thickBot="1" x14ac:dyDescent="0.3">
      <c r="A25" s="1"/>
      <c r="B25" s="36">
        <f t="shared" si="0"/>
        <v>16</v>
      </c>
      <c r="C25" s="129" t="s">
        <v>250</v>
      </c>
      <c r="D25" s="45" t="s">
        <v>26</v>
      </c>
      <c r="E25" s="45" t="s">
        <v>263</v>
      </c>
      <c r="F25" s="98" t="s">
        <v>201</v>
      </c>
      <c r="G25" s="45" t="s">
        <v>100</v>
      </c>
      <c r="H25" s="53" t="s">
        <v>202</v>
      </c>
      <c r="I25" s="48" t="s">
        <v>149</v>
      </c>
      <c r="J25" s="53" t="s">
        <v>202</v>
      </c>
      <c r="K25" s="53" t="s">
        <v>202</v>
      </c>
      <c r="L25" s="46">
        <v>1</v>
      </c>
      <c r="M25" s="62">
        <f t="shared" si="1"/>
        <v>500</v>
      </c>
      <c r="N25" s="47">
        <v>600</v>
      </c>
      <c r="O25" s="75" t="s">
        <v>239</v>
      </c>
      <c r="P25" s="89">
        <v>0.32579999999999998</v>
      </c>
      <c r="Q25" s="54">
        <f t="shared" si="2"/>
        <v>195.48</v>
      </c>
      <c r="R25" s="45"/>
      <c r="S25" s="49"/>
    </row>
    <row r="26" spans="1:19" ht="36.75" thickBot="1" x14ac:dyDescent="0.3">
      <c r="A26" s="1"/>
      <c r="B26" s="36">
        <f>ROW(B26) - ROW($B$9)</f>
        <v>17</v>
      </c>
      <c r="C26" s="130"/>
      <c r="D26" s="41" t="s">
        <v>27</v>
      </c>
      <c r="E26" s="41" t="s">
        <v>67</v>
      </c>
      <c r="F26" s="99" t="s">
        <v>201</v>
      </c>
      <c r="G26" s="41" t="s">
        <v>101</v>
      </c>
      <c r="H26" s="50" t="s">
        <v>202</v>
      </c>
      <c r="I26" s="43" t="s">
        <v>150</v>
      </c>
      <c r="J26" s="41" t="s">
        <v>238</v>
      </c>
      <c r="K26" s="56" t="s">
        <v>202</v>
      </c>
      <c r="L26" s="42">
        <v>2</v>
      </c>
      <c r="M26" s="58">
        <f t="shared" si="1"/>
        <v>1000</v>
      </c>
      <c r="N26" s="41">
        <v>1010</v>
      </c>
      <c r="O26" s="63" t="s">
        <v>197</v>
      </c>
      <c r="P26" s="104">
        <v>1.2641</v>
      </c>
      <c r="Q26" s="51">
        <f t="shared" si="2"/>
        <v>1276.741</v>
      </c>
      <c r="R26" s="41"/>
      <c r="S26" s="57"/>
    </row>
    <row r="27" spans="1:19" ht="15.75" thickBot="1" x14ac:dyDescent="0.3">
      <c r="A27" s="1"/>
      <c r="B27" s="36">
        <f t="shared" si="0"/>
        <v>18</v>
      </c>
      <c r="C27" s="131"/>
      <c r="D27" s="45" t="s">
        <v>28</v>
      </c>
      <c r="E27" s="45" t="s">
        <v>68</v>
      </c>
      <c r="F27" s="98" t="s">
        <v>201</v>
      </c>
      <c r="G27" s="45" t="s">
        <v>102</v>
      </c>
      <c r="H27" s="53" t="s">
        <v>202</v>
      </c>
      <c r="I27" s="48" t="s">
        <v>149</v>
      </c>
      <c r="J27" s="53" t="s">
        <v>202</v>
      </c>
      <c r="K27" s="53" t="s">
        <v>202</v>
      </c>
      <c r="L27" s="46">
        <v>1</v>
      </c>
      <c r="M27" s="62">
        <f t="shared" si="1"/>
        <v>500</v>
      </c>
      <c r="N27" s="47">
        <v>510</v>
      </c>
      <c r="O27" s="55" t="s">
        <v>239</v>
      </c>
      <c r="P27" s="89">
        <v>0.16800000000000001</v>
      </c>
      <c r="Q27" s="54">
        <f t="shared" si="2"/>
        <v>85.68</v>
      </c>
      <c r="R27" s="45"/>
      <c r="S27" s="49"/>
    </row>
    <row r="28" spans="1:19" ht="15.75" thickBot="1" x14ac:dyDescent="0.3">
      <c r="A28" s="1"/>
      <c r="B28" s="36">
        <f>ROW(B28) - ROW($B$9)</f>
        <v>19</v>
      </c>
      <c r="C28" s="129" t="s">
        <v>251</v>
      </c>
      <c r="D28" s="41" t="s">
        <v>29</v>
      </c>
      <c r="E28" s="41" t="s">
        <v>69</v>
      </c>
      <c r="F28" s="99" t="s">
        <v>201</v>
      </c>
      <c r="G28" s="41" t="s">
        <v>103</v>
      </c>
      <c r="H28" s="50" t="s">
        <v>202</v>
      </c>
      <c r="I28" s="43" t="s">
        <v>241</v>
      </c>
      <c r="J28" s="41" t="s">
        <v>240</v>
      </c>
      <c r="K28" s="41" t="s">
        <v>174</v>
      </c>
      <c r="L28" s="42">
        <v>1</v>
      </c>
      <c r="M28" s="58">
        <f t="shared" si="1"/>
        <v>500</v>
      </c>
      <c r="N28" s="41">
        <v>510</v>
      </c>
      <c r="O28" s="76" t="s">
        <v>197</v>
      </c>
      <c r="P28" s="104">
        <v>3.8600000000000002E-2</v>
      </c>
      <c r="Q28" s="51">
        <f t="shared" si="2"/>
        <v>19.686</v>
      </c>
      <c r="R28" s="41"/>
      <c r="S28" s="57"/>
    </row>
    <row r="29" spans="1:19" ht="15.75" thickBot="1" x14ac:dyDescent="0.3">
      <c r="A29" s="1"/>
      <c r="B29" s="36">
        <f t="shared" si="0"/>
        <v>20</v>
      </c>
      <c r="C29" s="131"/>
      <c r="D29" s="45" t="s">
        <v>30</v>
      </c>
      <c r="E29" s="45" t="s">
        <v>70</v>
      </c>
      <c r="F29" s="46" t="s">
        <v>201</v>
      </c>
      <c r="G29" s="45" t="s">
        <v>104</v>
      </c>
      <c r="H29" s="53" t="s">
        <v>211</v>
      </c>
      <c r="I29" s="48" t="s">
        <v>151</v>
      </c>
      <c r="J29" s="53" t="s">
        <v>202</v>
      </c>
      <c r="K29" s="45" t="s">
        <v>175</v>
      </c>
      <c r="L29" s="46">
        <v>1</v>
      </c>
      <c r="M29" s="62">
        <f t="shared" si="1"/>
        <v>500</v>
      </c>
      <c r="N29" s="47">
        <v>505</v>
      </c>
      <c r="O29" s="75" t="s">
        <v>266</v>
      </c>
      <c r="P29" s="89">
        <v>0.73</v>
      </c>
      <c r="Q29" s="54">
        <f t="shared" si="2"/>
        <v>368.65</v>
      </c>
      <c r="R29" s="114" t="s">
        <v>267</v>
      </c>
      <c r="S29" s="49"/>
    </row>
    <row r="30" spans="1:19" ht="24.75" thickBot="1" x14ac:dyDescent="0.3">
      <c r="A30" s="1"/>
      <c r="B30" s="36">
        <f>ROW(B30) - ROW($B$9)</f>
        <v>21</v>
      </c>
      <c r="C30" s="129" t="s">
        <v>250</v>
      </c>
      <c r="D30" s="41" t="s">
        <v>31</v>
      </c>
      <c r="E30" s="41" t="s">
        <v>71</v>
      </c>
      <c r="F30" s="42" t="s">
        <v>105</v>
      </c>
      <c r="G30" s="41" t="s">
        <v>105</v>
      </c>
      <c r="H30" s="50" t="s">
        <v>202</v>
      </c>
      <c r="I30" s="43" t="s">
        <v>152</v>
      </c>
      <c r="J30" s="41" t="s">
        <v>105</v>
      </c>
      <c r="K30" s="60" t="s">
        <v>202</v>
      </c>
      <c r="L30" s="42">
        <v>1</v>
      </c>
      <c r="M30" s="58">
        <f t="shared" si="1"/>
        <v>500</v>
      </c>
      <c r="N30" s="41">
        <v>520</v>
      </c>
      <c r="O30" s="77" t="s">
        <v>197</v>
      </c>
      <c r="P30" s="104">
        <v>2.47E-2</v>
      </c>
      <c r="Q30" s="51">
        <f t="shared" si="2"/>
        <v>12.843999999999999</v>
      </c>
      <c r="R30" s="41"/>
      <c r="S30" s="57"/>
    </row>
    <row r="31" spans="1:19" ht="51.75" thickBot="1" x14ac:dyDescent="0.3">
      <c r="A31" s="1"/>
      <c r="B31" s="36">
        <f t="shared" si="0"/>
        <v>22</v>
      </c>
      <c r="C31" s="130"/>
      <c r="D31" s="45" t="s">
        <v>32</v>
      </c>
      <c r="E31" s="45" t="s">
        <v>72</v>
      </c>
      <c r="F31" s="46" t="s">
        <v>106</v>
      </c>
      <c r="G31" s="45">
        <v>8266292</v>
      </c>
      <c r="H31" s="53" t="s">
        <v>202</v>
      </c>
      <c r="I31" s="48" t="s">
        <v>153</v>
      </c>
      <c r="J31" s="45" t="s">
        <v>242</v>
      </c>
      <c r="K31" s="53" t="s">
        <v>202</v>
      </c>
      <c r="L31" s="46">
        <v>2</v>
      </c>
      <c r="M31" s="62">
        <f t="shared" si="1"/>
        <v>1000</v>
      </c>
      <c r="N31" s="47">
        <v>1005</v>
      </c>
      <c r="O31" s="78" t="s">
        <v>197</v>
      </c>
      <c r="P31" s="89">
        <v>0.20269999999999999</v>
      </c>
      <c r="Q31" s="54">
        <f t="shared" si="2"/>
        <v>203.71349999999998</v>
      </c>
      <c r="R31" s="116" t="s">
        <v>256</v>
      </c>
      <c r="S31" s="49"/>
    </row>
    <row r="32" spans="1:19" ht="15.75" customHeight="1" thickBot="1" x14ac:dyDescent="0.3">
      <c r="A32" s="1"/>
      <c r="B32" s="36">
        <f>ROW(B32) - ROW($B$9)</f>
        <v>23</v>
      </c>
      <c r="C32" s="97" t="s">
        <v>265</v>
      </c>
      <c r="D32" s="41" t="s">
        <v>33</v>
      </c>
      <c r="E32" s="41" t="s">
        <v>73</v>
      </c>
      <c r="F32" s="42" t="s">
        <v>107</v>
      </c>
      <c r="G32" s="60" t="s">
        <v>202</v>
      </c>
      <c r="H32" s="60" t="s">
        <v>202</v>
      </c>
      <c r="I32" s="60" t="s">
        <v>202</v>
      </c>
      <c r="J32" s="60" t="s">
        <v>202</v>
      </c>
      <c r="K32" s="60" t="s">
        <v>202</v>
      </c>
      <c r="L32" s="42">
        <v>5</v>
      </c>
      <c r="M32" s="58">
        <f t="shared" si="1"/>
        <v>2500</v>
      </c>
      <c r="N32" s="60" t="s">
        <v>202</v>
      </c>
      <c r="O32" s="60" t="s">
        <v>202</v>
      </c>
      <c r="P32" s="69" t="s">
        <v>202</v>
      </c>
      <c r="Q32" s="56" t="s">
        <v>202</v>
      </c>
      <c r="R32" s="117" t="s">
        <v>231</v>
      </c>
      <c r="S32" s="57"/>
    </row>
    <row r="33" spans="1:19" ht="16.5" thickBot="1" x14ac:dyDescent="0.3">
      <c r="A33" s="1"/>
      <c r="B33" s="36">
        <f t="shared" si="0"/>
        <v>24</v>
      </c>
      <c r="C33" s="96" t="s">
        <v>252</v>
      </c>
      <c r="D33" s="45" t="s">
        <v>34</v>
      </c>
      <c r="E33" s="45" t="s">
        <v>74</v>
      </c>
      <c r="F33" s="46" t="s">
        <v>201</v>
      </c>
      <c r="G33" s="103" t="s">
        <v>108</v>
      </c>
      <c r="H33" s="53" t="s">
        <v>202</v>
      </c>
      <c r="I33" s="48" t="s">
        <v>154</v>
      </c>
      <c r="J33" s="45" t="s">
        <v>218</v>
      </c>
      <c r="K33" s="53" t="s">
        <v>202</v>
      </c>
      <c r="L33" s="46">
        <v>1</v>
      </c>
      <c r="M33" s="62">
        <f t="shared" si="1"/>
        <v>500</v>
      </c>
      <c r="N33" s="45">
        <v>510</v>
      </c>
      <c r="O33" s="79" t="s">
        <v>197</v>
      </c>
      <c r="P33" s="89">
        <v>0.56630000000000003</v>
      </c>
      <c r="Q33" s="54">
        <f t="shared" si="2"/>
        <v>288.81299999999999</v>
      </c>
      <c r="R33" s="45"/>
      <c r="S33" s="49"/>
    </row>
    <row r="34" spans="1:19" ht="48.75" thickBot="1" x14ac:dyDescent="0.3">
      <c r="A34" s="1"/>
      <c r="B34" s="36">
        <f>ROW(B34) - ROW($B$9)</f>
        <v>25</v>
      </c>
      <c r="C34" s="97" t="s">
        <v>253</v>
      </c>
      <c r="D34" s="41" t="s">
        <v>35</v>
      </c>
      <c r="E34" s="41" t="s">
        <v>75</v>
      </c>
      <c r="F34" s="42" t="s">
        <v>109</v>
      </c>
      <c r="G34" s="65" t="s">
        <v>176</v>
      </c>
      <c r="H34" s="60" t="s">
        <v>202</v>
      </c>
      <c r="I34" s="43" t="s">
        <v>155</v>
      </c>
      <c r="J34" s="41" t="s">
        <v>219</v>
      </c>
      <c r="K34" s="60" t="s">
        <v>202</v>
      </c>
      <c r="L34" s="42">
        <v>1</v>
      </c>
      <c r="M34" s="58">
        <f t="shared" si="1"/>
        <v>500</v>
      </c>
      <c r="N34" s="41">
        <v>510</v>
      </c>
      <c r="O34" s="70" t="s">
        <v>197</v>
      </c>
      <c r="P34" s="104">
        <v>4.4699999999999997E-2</v>
      </c>
      <c r="Q34" s="51">
        <f t="shared" si="2"/>
        <v>22.796999999999997</v>
      </c>
      <c r="R34" s="41"/>
      <c r="S34" s="57"/>
    </row>
    <row r="35" spans="1:19" ht="15.75" thickBot="1" x14ac:dyDescent="0.3">
      <c r="A35" s="1"/>
      <c r="B35" s="36">
        <f t="shared" si="0"/>
        <v>26</v>
      </c>
      <c r="C35" s="129" t="s">
        <v>254</v>
      </c>
      <c r="D35" s="45" t="s">
        <v>36</v>
      </c>
      <c r="E35" s="45" t="s">
        <v>76</v>
      </c>
      <c r="F35" s="46" t="s">
        <v>110</v>
      </c>
      <c r="G35" s="47" t="s">
        <v>129</v>
      </c>
      <c r="H35" s="53" t="s">
        <v>202</v>
      </c>
      <c r="I35" s="48" t="s">
        <v>141</v>
      </c>
      <c r="J35" s="45" t="s">
        <v>220</v>
      </c>
      <c r="K35" s="45" t="s">
        <v>177</v>
      </c>
      <c r="L35" s="46">
        <v>3</v>
      </c>
      <c r="M35" s="62">
        <f t="shared" si="1"/>
        <v>1500</v>
      </c>
      <c r="N35" s="47">
        <v>1600</v>
      </c>
      <c r="O35" s="80" t="s">
        <v>197</v>
      </c>
      <c r="P35" s="89">
        <v>1.6999999999999999E-3</v>
      </c>
      <c r="Q35" s="54">
        <f t="shared" si="2"/>
        <v>2.7199999999999998</v>
      </c>
      <c r="R35" s="45"/>
      <c r="S35" s="49"/>
    </row>
    <row r="36" spans="1:19" ht="15.75" thickBot="1" x14ac:dyDescent="0.3">
      <c r="A36" s="1"/>
      <c r="B36" s="36">
        <f>ROW(B36) - ROW($B$9)</f>
        <v>27</v>
      </c>
      <c r="C36" s="130"/>
      <c r="D36" s="41" t="s">
        <v>37</v>
      </c>
      <c r="E36" s="41" t="s">
        <v>77</v>
      </c>
      <c r="F36" s="42" t="s">
        <v>110</v>
      </c>
      <c r="G36" s="102" t="s">
        <v>130</v>
      </c>
      <c r="H36" s="41" t="s">
        <v>261</v>
      </c>
      <c r="I36" s="43" t="s">
        <v>153</v>
      </c>
      <c r="J36" s="41" t="s">
        <v>262</v>
      </c>
      <c r="K36" s="41" t="s">
        <v>178</v>
      </c>
      <c r="L36" s="42">
        <v>1</v>
      </c>
      <c r="M36" s="58">
        <f t="shared" si="1"/>
        <v>500</v>
      </c>
      <c r="N36" s="41">
        <v>600</v>
      </c>
      <c r="O36" s="63" t="s">
        <v>197</v>
      </c>
      <c r="P36" s="104">
        <v>1.4E-3</v>
      </c>
      <c r="Q36" s="51">
        <f t="shared" si="2"/>
        <v>0.84</v>
      </c>
      <c r="R36" s="41"/>
      <c r="S36" s="57"/>
    </row>
    <row r="37" spans="1:19" ht="15.75" thickBot="1" x14ac:dyDescent="0.3">
      <c r="A37" s="1"/>
      <c r="B37" s="36">
        <f t="shared" si="0"/>
        <v>28</v>
      </c>
      <c r="C37" s="130"/>
      <c r="D37" s="45" t="s">
        <v>38</v>
      </c>
      <c r="E37" s="45" t="s">
        <v>78</v>
      </c>
      <c r="F37" s="46" t="s">
        <v>111</v>
      </c>
      <c r="G37" s="101" t="s">
        <v>131</v>
      </c>
      <c r="H37" s="59" t="s">
        <v>221</v>
      </c>
      <c r="I37" s="48" t="s">
        <v>156</v>
      </c>
      <c r="J37" s="45" t="s">
        <v>222</v>
      </c>
      <c r="K37" s="45" t="s">
        <v>179</v>
      </c>
      <c r="L37" s="46">
        <v>1</v>
      </c>
      <c r="M37" s="62">
        <f t="shared" si="1"/>
        <v>500</v>
      </c>
      <c r="N37" s="47">
        <v>510</v>
      </c>
      <c r="O37" s="72" t="s">
        <v>197</v>
      </c>
      <c r="P37" s="89">
        <v>9.8699999999999996E-2</v>
      </c>
      <c r="Q37" s="54">
        <f t="shared" si="2"/>
        <v>50.336999999999996</v>
      </c>
      <c r="R37" s="45"/>
      <c r="S37" s="49"/>
    </row>
    <row r="38" spans="1:19" ht="15.75" thickBot="1" x14ac:dyDescent="0.3">
      <c r="A38" s="1"/>
      <c r="B38" s="36">
        <f>ROW(B38) - ROW($B$9)</f>
        <v>29</v>
      </c>
      <c r="C38" s="130"/>
      <c r="D38" s="41" t="s">
        <v>39</v>
      </c>
      <c r="E38" s="41" t="s">
        <v>79</v>
      </c>
      <c r="F38" s="42" t="s">
        <v>112</v>
      </c>
      <c r="G38" s="102" t="s">
        <v>260</v>
      </c>
      <c r="H38" s="41" t="s">
        <v>257</v>
      </c>
      <c r="I38" s="43" t="s">
        <v>258</v>
      </c>
      <c r="J38" s="41" t="s">
        <v>259</v>
      </c>
      <c r="K38" s="41" t="s">
        <v>180</v>
      </c>
      <c r="L38" s="42">
        <v>1</v>
      </c>
      <c r="M38" s="58">
        <f t="shared" si="1"/>
        <v>500</v>
      </c>
      <c r="N38" s="41">
        <v>520</v>
      </c>
      <c r="O38" s="63" t="s">
        <v>197</v>
      </c>
      <c r="P38" s="104">
        <v>3.2399999999999998E-2</v>
      </c>
      <c r="Q38" s="51">
        <f t="shared" si="2"/>
        <v>16.847999999999999</v>
      </c>
      <c r="R38" s="41"/>
      <c r="S38" s="57"/>
    </row>
    <row r="39" spans="1:19" ht="15.75" thickBot="1" x14ac:dyDescent="0.3">
      <c r="A39" s="1"/>
      <c r="B39" s="36">
        <f t="shared" si="0"/>
        <v>30</v>
      </c>
      <c r="C39" s="130"/>
      <c r="D39" s="45" t="s">
        <v>40</v>
      </c>
      <c r="E39" s="45" t="s">
        <v>80</v>
      </c>
      <c r="F39" s="46" t="s">
        <v>110</v>
      </c>
      <c r="G39" s="45" t="s">
        <v>132</v>
      </c>
      <c r="H39" s="53" t="s">
        <v>202</v>
      </c>
      <c r="I39" s="48" t="s">
        <v>141</v>
      </c>
      <c r="J39" s="45" t="s">
        <v>223</v>
      </c>
      <c r="K39" s="45" t="s">
        <v>181</v>
      </c>
      <c r="L39" s="46">
        <v>1</v>
      </c>
      <c r="M39" s="62">
        <f t="shared" si="1"/>
        <v>500</v>
      </c>
      <c r="N39" s="47">
        <v>600</v>
      </c>
      <c r="O39" s="72" t="s">
        <v>197</v>
      </c>
      <c r="P39" s="89">
        <v>1.2999999999999999E-3</v>
      </c>
      <c r="Q39" s="54">
        <f t="shared" si="2"/>
        <v>0.77999999999999992</v>
      </c>
      <c r="R39" s="45"/>
      <c r="S39" s="49"/>
    </row>
    <row r="40" spans="1:19" ht="36.75" thickBot="1" x14ac:dyDescent="0.3">
      <c r="A40" s="1"/>
      <c r="B40" s="36">
        <f>ROW(B40) - ROW($B$9)</f>
        <v>31</v>
      </c>
      <c r="C40" s="130"/>
      <c r="D40" s="41" t="s">
        <v>41</v>
      </c>
      <c r="E40" s="41" t="s">
        <v>81</v>
      </c>
      <c r="F40" s="42" t="s">
        <v>110</v>
      </c>
      <c r="G40" s="41" t="s">
        <v>133</v>
      </c>
      <c r="H40" s="60" t="s">
        <v>202</v>
      </c>
      <c r="I40" s="43" t="s">
        <v>141</v>
      </c>
      <c r="J40" s="41" t="s">
        <v>224</v>
      </c>
      <c r="K40" s="41" t="s">
        <v>182</v>
      </c>
      <c r="L40" s="42">
        <v>8</v>
      </c>
      <c r="M40" s="58">
        <f t="shared" si="1"/>
        <v>4000</v>
      </c>
      <c r="N40" s="41">
        <v>4100</v>
      </c>
      <c r="O40" s="81" t="s">
        <v>197</v>
      </c>
      <c r="P40" s="104">
        <v>8.9999999999999998E-4</v>
      </c>
      <c r="Q40" s="51">
        <f t="shared" si="2"/>
        <v>3.69</v>
      </c>
      <c r="R40" s="41"/>
      <c r="S40" s="57"/>
    </row>
    <row r="41" spans="1:19" ht="15.75" thickBot="1" x14ac:dyDescent="0.3">
      <c r="A41" s="1"/>
      <c r="B41" s="36">
        <f t="shared" si="0"/>
        <v>32</v>
      </c>
      <c r="C41" s="130"/>
      <c r="D41" s="45" t="s">
        <v>42</v>
      </c>
      <c r="E41" s="45" t="s">
        <v>82</v>
      </c>
      <c r="F41" s="46" t="s">
        <v>110</v>
      </c>
      <c r="G41" s="45" t="s">
        <v>134</v>
      </c>
      <c r="H41" s="53" t="s">
        <v>202</v>
      </c>
      <c r="I41" s="48" t="s">
        <v>141</v>
      </c>
      <c r="J41" s="45" t="s">
        <v>225</v>
      </c>
      <c r="K41" s="45" t="s">
        <v>183</v>
      </c>
      <c r="L41" s="46">
        <v>2</v>
      </c>
      <c r="M41" s="62">
        <f t="shared" si="1"/>
        <v>1000</v>
      </c>
      <c r="N41" s="47">
        <v>1100</v>
      </c>
      <c r="O41" s="72" t="s">
        <v>197</v>
      </c>
      <c r="P41" s="89">
        <v>1E-3</v>
      </c>
      <c r="Q41" s="54">
        <f t="shared" si="2"/>
        <v>1.1000000000000001</v>
      </c>
      <c r="R41" s="45"/>
      <c r="S41" s="49"/>
    </row>
    <row r="42" spans="1:19" ht="15.75" thickBot="1" x14ac:dyDescent="0.3">
      <c r="A42" s="1"/>
      <c r="B42" s="36">
        <f>ROW(B42) - ROW($B$9)</f>
        <v>33</v>
      </c>
      <c r="C42" s="130"/>
      <c r="D42" s="41" t="s">
        <v>43</v>
      </c>
      <c r="E42" s="41" t="s">
        <v>83</v>
      </c>
      <c r="F42" s="42" t="s">
        <v>110</v>
      </c>
      <c r="G42" s="41" t="s">
        <v>135</v>
      </c>
      <c r="H42" s="60" t="s">
        <v>202</v>
      </c>
      <c r="I42" s="43" t="s">
        <v>141</v>
      </c>
      <c r="J42" s="41" t="s">
        <v>226</v>
      </c>
      <c r="K42" s="41" t="s">
        <v>184</v>
      </c>
      <c r="L42" s="42">
        <v>1</v>
      </c>
      <c r="M42" s="58">
        <f t="shared" si="1"/>
        <v>500</v>
      </c>
      <c r="N42" s="41">
        <v>520</v>
      </c>
      <c r="O42" s="82" t="s">
        <v>197</v>
      </c>
      <c r="P42" s="104">
        <v>2.46E-2</v>
      </c>
      <c r="Q42" s="51">
        <f t="shared" si="2"/>
        <v>12.792</v>
      </c>
      <c r="R42" s="41"/>
      <c r="S42" s="57"/>
    </row>
    <row r="43" spans="1:19" ht="15.75" thickBot="1" x14ac:dyDescent="0.3">
      <c r="A43" s="1"/>
      <c r="B43" s="36">
        <f t="shared" si="0"/>
        <v>34</v>
      </c>
      <c r="C43" s="130"/>
      <c r="D43" s="45" t="s">
        <v>44</v>
      </c>
      <c r="E43" s="45" t="s">
        <v>84</v>
      </c>
      <c r="F43" s="46" t="s">
        <v>110</v>
      </c>
      <c r="G43" s="45" t="s">
        <v>136</v>
      </c>
      <c r="H43" s="53" t="s">
        <v>202</v>
      </c>
      <c r="I43" s="48" t="s">
        <v>141</v>
      </c>
      <c r="J43" s="45" t="s">
        <v>227</v>
      </c>
      <c r="K43" s="45" t="s">
        <v>185</v>
      </c>
      <c r="L43" s="46">
        <v>1</v>
      </c>
      <c r="M43" s="62">
        <f t="shared" si="1"/>
        <v>500</v>
      </c>
      <c r="N43" s="47">
        <v>600</v>
      </c>
      <c r="O43" s="83" t="s">
        <v>197</v>
      </c>
      <c r="P43" s="89">
        <v>3.3999999999999998E-3</v>
      </c>
      <c r="Q43" s="54">
        <f t="shared" si="2"/>
        <v>2.04</v>
      </c>
      <c r="R43" s="45"/>
      <c r="S43" s="49"/>
    </row>
    <row r="44" spans="1:19" ht="15.75" thickBot="1" x14ac:dyDescent="0.3">
      <c r="A44" s="1"/>
      <c r="B44" s="36">
        <f>ROW(B44) - ROW($B$9)</f>
        <v>35</v>
      </c>
      <c r="C44" s="130"/>
      <c r="D44" s="41" t="s">
        <v>45</v>
      </c>
      <c r="E44" s="41" t="s">
        <v>85</v>
      </c>
      <c r="F44" s="42" t="s">
        <v>110</v>
      </c>
      <c r="G44" s="41" t="s">
        <v>137</v>
      </c>
      <c r="H44" s="60" t="s">
        <v>202</v>
      </c>
      <c r="I44" s="43" t="s">
        <v>141</v>
      </c>
      <c r="J44" s="41" t="s">
        <v>228</v>
      </c>
      <c r="K44" s="41" t="s">
        <v>186</v>
      </c>
      <c r="L44" s="42">
        <v>1</v>
      </c>
      <c r="M44" s="58">
        <f t="shared" si="1"/>
        <v>500</v>
      </c>
      <c r="N44" s="41">
        <v>600</v>
      </c>
      <c r="O44" s="70" t="s">
        <v>197</v>
      </c>
      <c r="P44" s="104">
        <v>1.2999999999999999E-3</v>
      </c>
      <c r="Q44" s="51">
        <f t="shared" si="2"/>
        <v>0.77999999999999992</v>
      </c>
      <c r="R44" s="41"/>
      <c r="S44" s="57"/>
    </row>
    <row r="45" spans="1:19" ht="15.75" thickBot="1" x14ac:dyDescent="0.3">
      <c r="A45" s="1"/>
      <c r="B45" s="36">
        <f t="shared" si="0"/>
        <v>36</v>
      </c>
      <c r="C45" s="131"/>
      <c r="D45" s="45" t="s">
        <v>46</v>
      </c>
      <c r="E45" s="45" t="s">
        <v>86</v>
      </c>
      <c r="F45" s="46" t="s">
        <v>113</v>
      </c>
      <c r="G45" s="45" t="s">
        <v>229</v>
      </c>
      <c r="H45" s="53" t="s">
        <v>202</v>
      </c>
      <c r="I45" s="48" t="s">
        <v>157</v>
      </c>
      <c r="J45" s="45" t="s">
        <v>230</v>
      </c>
      <c r="K45" s="45" t="s">
        <v>187</v>
      </c>
      <c r="L45" s="46">
        <v>2</v>
      </c>
      <c r="M45" s="62">
        <f t="shared" si="1"/>
        <v>1000</v>
      </c>
      <c r="N45" s="47">
        <v>1050</v>
      </c>
      <c r="O45" s="83" t="s">
        <v>197</v>
      </c>
      <c r="P45" s="89">
        <v>1.12E-2</v>
      </c>
      <c r="Q45" s="54">
        <f t="shared" si="2"/>
        <v>11.76</v>
      </c>
      <c r="R45" s="45"/>
      <c r="S45" s="49"/>
    </row>
    <row r="46" spans="1:19" ht="16.5" thickBot="1" x14ac:dyDescent="0.3">
      <c r="A46" s="1"/>
      <c r="B46" s="36">
        <f>ROW(B46) - ROW($B$9)</f>
        <v>37</v>
      </c>
      <c r="C46" s="97" t="s">
        <v>114</v>
      </c>
      <c r="D46" s="41" t="s">
        <v>47</v>
      </c>
      <c r="E46" s="41" t="s">
        <v>87</v>
      </c>
      <c r="F46" s="42" t="s">
        <v>114</v>
      </c>
      <c r="G46" s="60" t="s">
        <v>202</v>
      </c>
      <c r="H46" s="60" t="s">
        <v>202</v>
      </c>
      <c r="I46" s="60" t="s">
        <v>202</v>
      </c>
      <c r="J46" s="60" t="s">
        <v>202</v>
      </c>
      <c r="K46" s="60" t="s">
        <v>202</v>
      </c>
      <c r="L46" s="42">
        <v>1</v>
      </c>
      <c r="M46" s="58">
        <f t="shared" si="1"/>
        <v>500</v>
      </c>
      <c r="N46" s="60" t="s">
        <v>202</v>
      </c>
      <c r="O46" s="60" t="s">
        <v>202</v>
      </c>
      <c r="P46" s="105" t="s">
        <v>202</v>
      </c>
      <c r="Q46" s="60" t="s">
        <v>202</v>
      </c>
      <c r="R46" s="117" t="s">
        <v>231</v>
      </c>
      <c r="S46" s="60" t="s">
        <v>202</v>
      </c>
    </row>
    <row r="47" spans="1:19" ht="36.75" thickBot="1" x14ac:dyDescent="0.3">
      <c r="A47" s="1"/>
      <c r="B47" s="36">
        <f t="shared" si="0"/>
        <v>38</v>
      </c>
      <c r="C47" s="130" t="s">
        <v>255</v>
      </c>
      <c r="D47" s="45" t="s">
        <v>48</v>
      </c>
      <c r="E47" s="45" t="s">
        <v>88</v>
      </c>
      <c r="F47" s="46" t="s">
        <v>115</v>
      </c>
      <c r="G47" s="45" t="s">
        <v>138</v>
      </c>
      <c r="H47" s="53" t="s">
        <v>202</v>
      </c>
      <c r="I47" s="48" t="s">
        <v>158</v>
      </c>
      <c r="J47" s="53" t="s">
        <v>202</v>
      </c>
      <c r="K47" s="53" t="s">
        <v>202</v>
      </c>
      <c r="L47" s="46">
        <v>1</v>
      </c>
      <c r="M47" s="62">
        <f t="shared" si="1"/>
        <v>500</v>
      </c>
      <c r="N47" s="45">
        <v>505</v>
      </c>
      <c r="O47" s="75" t="s">
        <v>266</v>
      </c>
      <c r="P47" s="89">
        <v>2.96</v>
      </c>
      <c r="Q47" s="52">
        <f t="shared" si="2"/>
        <v>1494.8</v>
      </c>
      <c r="R47" s="114" t="s">
        <v>267</v>
      </c>
      <c r="S47" s="49"/>
    </row>
    <row r="48" spans="1:19" ht="16.5" customHeight="1" thickBot="1" x14ac:dyDescent="0.3">
      <c r="A48" s="1"/>
      <c r="B48" s="36">
        <f>ROW(B48) - ROW($B$9)</f>
        <v>39</v>
      </c>
      <c r="C48" s="130"/>
      <c r="D48" s="41" t="s">
        <v>49</v>
      </c>
      <c r="E48" s="41" t="s">
        <v>89</v>
      </c>
      <c r="F48" s="100" t="s">
        <v>232</v>
      </c>
      <c r="G48" s="41" t="s">
        <v>116</v>
      </c>
      <c r="H48" s="60" t="s">
        <v>202</v>
      </c>
      <c r="I48" s="43" t="s">
        <v>159</v>
      </c>
      <c r="J48" s="41" t="s">
        <v>233</v>
      </c>
      <c r="K48" s="60" t="s">
        <v>202</v>
      </c>
      <c r="L48" s="42">
        <v>1</v>
      </c>
      <c r="M48" s="58">
        <f t="shared" si="1"/>
        <v>500</v>
      </c>
      <c r="N48" s="41">
        <v>505</v>
      </c>
      <c r="O48" s="84" t="s">
        <v>197</v>
      </c>
      <c r="P48" s="104">
        <v>3.1503999999999999</v>
      </c>
      <c r="Q48" s="51">
        <f t="shared" si="2"/>
        <v>1590.952</v>
      </c>
      <c r="R48" s="41"/>
      <c r="S48" s="57"/>
    </row>
    <row r="49" spans="1:19" ht="24.75" thickBot="1" x14ac:dyDescent="0.3">
      <c r="A49" s="1"/>
      <c r="B49" s="36">
        <f t="shared" si="0"/>
        <v>40</v>
      </c>
      <c r="C49" s="131"/>
      <c r="D49" s="45" t="s">
        <v>50</v>
      </c>
      <c r="E49" s="61" t="s">
        <v>90</v>
      </c>
      <c r="F49" s="46" t="s">
        <v>246</v>
      </c>
      <c r="G49" s="61" t="s">
        <v>117</v>
      </c>
      <c r="H49" s="53" t="s">
        <v>202</v>
      </c>
      <c r="I49" s="48" t="s">
        <v>160</v>
      </c>
      <c r="J49" s="53" t="s">
        <v>202</v>
      </c>
      <c r="K49" s="53" t="s">
        <v>202</v>
      </c>
      <c r="L49" s="46">
        <v>1</v>
      </c>
      <c r="M49" s="62">
        <f t="shared" si="1"/>
        <v>500</v>
      </c>
      <c r="N49" s="88">
        <v>505</v>
      </c>
      <c r="O49" s="75" t="s">
        <v>266</v>
      </c>
      <c r="P49" s="89">
        <v>0.1</v>
      </c>
      <c r="Q49" s="106">
        <f t="shared" si="2"/>
        <v>50.5</v>
      </c>
      <c r="R49" s="114" t="s">
        <v>267</v>
      </c>
      <c r="S49" s="49"/>
    </row>
    <row r="50" spans="1:19" ht="19.5" thickBot="1" x14ac:dyDescent="0.3">
      <c r="A50" s="1"/>
      <c r="B50" s="31"/>
      <c r="C50" s="95"/>
      <c r="D50" s="32" t="s">
        <v>5</v>
      </c>
      <c r="E50" s="33"/>
      <c r="F50" s="34"/>
      <c r="G50" s="35"/>
      <c r="H50" s="35"/>
      <c r="I50" s="34"/>
      <c r="J50" s="34"/>
      <c r="K50" s="35"/>
      <c r="L50" s="35"/>
      <c r="M50" s="107"/>
      <c r="N50" s="122" t="s">
        <v>243</v>
      </c>
      <c r="O50" s="123"/>
      <c r="P50" s="123"/>
      <c r="Q50" s="85">
        <f>SUM(Q10:Q49)</f>
        <v>6275.7455000000009</v>
      </c>
      <c r="R50" s="125"/>
      <c r="S50" s="126"/>
    </row>
    <row r="51" spans="1:19" ht="19.5" thickBot="1" x14ac:dyDescent="0.3">
      <c r="A51" s="1"/>
      <c r="B51" s="108"/>
      <c r="C51" s="109"/>
      <c r="D51" s="9" t="s">
        <v>6</v>
      </c>
      <c r="E51" s="110"/>
      <c r="F51" s="111"/>
      <c r="G51" s="112"/>
      <c r="H51" s="112"/>
      <c r="I51" s="111"/>
      <c r="J51" s="111"/>
      <c r="K51" s="112"/>
      <c r="L51" s="112"/>
      <c r="M51" s="113"/>
      <c r="N51" s="122" t="s">
        <v>245</v>
      </c>
      <c r="O51" s="123"/>
      <c r="P51" s="124"/>
      <c r="Q51" s="87">
        <v>67.599999999999994</v>
      </c>
      <c r="R51" s="127"/>
      <c r="S51" s="128"/>
    </row>
    <row r="52" spans="1:19" ht="19.5" thickBot="1" x14ac:dyDescent="0.3">
      <c r="A52" s="1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122" t="s">
        <v>244</v>
      </c>
      <c r="O52" s="123"/>
      <c r="P52" s="123"/>
      <c r="Q52" s="86">
        <f>Q50/500</f>
        <v>12.551491000000002</v>
      </c>
    </row>
  </sheetData>
  <mergeCells count="13">
    <mergeCell ref="C35:C45"/>
    <mergeCell ref="C47:C49"/>
    <mergeCell ref="C10:C20"/>
    <mergeCell ref="C21:C24"/>
    <mergeCell ref="C25:C27"/>
    <mergeCell ref="C28:C29"/>
    <mergeCell ref="C30:C31"/>
    <mergeCell ref="K1:S1"/>
    <mergeCell ref="S3:S8"/>
    <mergeCell ref="N50:P50"/>
    <mergeCell ref="N52:P52"/>
    <mergeCell ref="N51:P51"/>
    <mergeCell ref="R50:S51"/>
  </mergeCells>
  <conditionalFormatting sqref="O14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{CC136235-2BFA-4BB3-B55E-DD5D1B5A6FCF}</x14:id>
        </ext>
      </extLst>
    </cfRule>
  </conditionalFormatting>
  <conditionalFormatting sqref="O18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{17366710-AC7E-47E9-9C16-92DA5B886F19}</x14:id>
        </ext>
      </extLst>
    </cfRule>
  </conditionalFormatting>
  <conditionalFormatting sqref="O19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{F123719C-CE24-424B-AE7B-05DE0273EE2C}</x14:id>
        </ext>
      </extLst>
    </cfRule>
  </conditionalFormatting>
  <conditionalFormatting sqref="O20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{8889188E-23A9-43D3-9A58-E48A9754436C}</x14:id>
        </ext>
      </extLst>
    </cfRule>
  </conditionalFormatting>
  <conditionalFormatting sqref="O21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{C2970B8D-60AF-46CA-9F16-4FEBB845EF35}</x14:id>
        </ext>
      </extLst>
    </cfRule>
  </conditionalFormatting>
  <conditionalFormatting sqref="O23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{72D375E0-90B3-4916-941F-EB395C1768E5}</x14:id>
        </ext>
      </extLst>
    </cfRule>
  </conditionalFormatting>
  <conditionalFormatting sqref="O33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{E68F916A-9B57-4C40-B85E-5DD0692EA876}</x14:id>
        </ext>
      </extLst>
    </cfRule>
  </conditionalFormatting>
  <conditionalFormatting sqref="O40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{6587D1F0-11F4-4B33-9E8B-1CCB30807F0A}</x14:id>
        </ext>
      </extLst>
    </cfRule>
  </conditionalFormatting>
  <conditionalFormatting sqref="O25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{3095F24A-CC3C-4211-97FA-77C7CD90E2BB}</x14:id>
        </ext>
      </extLst>
    </cfRule>
  </conditionalFormatting>
  <conditionalFormatting sqref="O29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{C425534F-2132-4E3E-9E27-4731DA9BFCD1}</x14:id>
        </ext>
      </extLst>
    </cfRule>
  </conditionalFormatting>
  <conditionalFormatting sqref="O47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{66F3904F-387C-4CAD-BEC6-08FB3198833C}</x14:id>
        </ext>
      </extLst>
    </cfRule>
  </conditionalFormatting>
  <conditionalFormatting sqref="O4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{0840C77E-1C20-4E52-9B84-C937166616D1}</x14:id>
        </ext>
      </extLst>
    </cfRule>
  </conditionalFormatting>
  <conditionalFormatting sqref="O1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{A36A295E-890B-44B2-8B87-7FA091974DAC}</x14:id>
        </ext>
      </extLst>
    </cfRule>
  </conditionalFormatting>
  <hyperlinks>
    <hyperlink ref="O10" r:id="rId1" xr:uid="{1B6B54E8-03CF-40A3-B32B-4151F2017DDB}"/>
    <hyperlink ref="O12" r:id="rId2" xr:uid="{A6AF3D12-A2B7-406C-99DE-4A2B14492EBF}"/>
    <hyperlink ref="O14" r:id="rId3" xr:uid="{42D3E95E-4A54-4681-8DD2-B405F8766920}"/>
    <hyperlink ref="O15" r:id="rId4" xr:uid="{84858A17-343C-4382-89D9-8E88B2679CF6}"/>
    <hyperlink ref="O16" r:id="rId5" xr:uid="{1D42C161-9348-4E50-8829-4A2AB74BE576}"/>
    <hyperlink ref="O17" r:id="rId6" xr:uid="{77D8AFD1-CA93-40B0-9AB1-01AFA20E8CBF}"/>
    <hyperlink ref="O18" r:id="rId7" xr:uid="{022A5E50-C635-4680-A1A7-9FD01AB2DCB9}"/>
    <hyperlink ref="O19" r:id="rId8" xr:uid="{AF8FC433-8557-4930-9F93-B0BDC0D93633}"/>
    <hyperlink ref="O20" r:id="rId9" xr:uid="{5D8D396A-4B9E-4433-AC86-359BF9C2E836}"/>
    <hyperlink ref="O21" r:id="rId10" xr:uid="{24AD814A-F8AC-44A9-A96B-512C2D4D4A9E}"/>
    <hyperlink ref="O23" r:id="rId11" xr:uid="{05628E33-6E5F-4008-A818-B731C118EC5E}"/>
    <hyperlink ref="O24" r:id="rId12" xr:uid="{88128F9D-7EFF-4D52-87D7-9ABB22B3FE7D}"/>
    <hyperlink ref="O33" r:id="rId13" xr:uid="{991349B4-FA5F-46BE-92E5-E5228174FB13}"/>
    <hyperlink ref="O34" r:id="rId14" xr:uid="{D20CC96C-F0B2-4507-9A17-C43EF77BFED5}"/>
    <hyperlink ref="O35" r:id="rId15" xr:uid="{C31D8FA7-31D2-4F7A-AAF2-A35193C83DEB}"/>
    <hyperlink ref="O37" r:id="rId16" xr:uid="{108D1389-3DE9-4341-B4CD-5862FD176D0E}"/>
    <hyperlink ref="O39" r:id="rId17" xr:uid="{078D3269-7E5E-40E1-AA3C-DA4DE0F331AB}"/>
    <hyperlink ref="O40" r:id="rId18" xr:uid="{FB1093E0-651D-429A-8ECF-27D6532353DA}"/>
    <hyperlink ref="O41" r:id="rId19" xr:uid="{71099F03-EFD3-4608-B59C-4F7AE5EF6DBF}"/>
    <hyperlink ref="O42" r:id="rId20" xr:uid="{237BD033-D3F3-4E5B-9D55-F222CBCDA51A}"/>
    <hyperlink ref="O43" r:id="rId21" xr:uid="{ABA061C0-3178-4EEE-AC9E-00F3074CCA83}"/>
    <hyperlink ref="O44" r:id="rId22" xr:uid="{E3D102C8-0F26-49E0-9DD2-8086B665C1A9}"/>
    <hyperlink ref="O45" r:id="rId23" xr:uid="{5F351CAB-DED2-4547-A277-A2BD52DD8FA7}"/>
    <hyperlink ref="O48" r:id="rId24" xr:uid="{2E5DC74F-6A03-4F11-A724-94718B7221E7}"/>
    <hyperlink ref="O11" r:id="rId25" xr:uid="{9E8A17B7-5D2F-4C74-B22B-A47931EE4D28}"/>
    <hyperlink ref="O22" r:id="rId26" xr:uid="{0D6B720F-74DB-4906-B7E4-12F9EBBB2CD7}"/>
    <hyperlink ref="O26" r:id="rId27" xr:uid="{E6C2E888-5DFE-4518-B9DA-59675AD20B1F}"/>
    <hyperlink ref="O27" r:id="rId28" xr:uid="{7F9E98A4-2FC1-4E25-8EFE-AC9AD2673293}"/>
    <hyperlink ref="O28" r:id="rId29" xr:uid="{7B2A4AC0-A421-4755-B302-91033C8526E7}"/>
    <hyperlink ref="O30" r:id="rId30" xr:uid="{1566147B-6D46-410E-9332-C2A8C56F7EF8}"/>
    <hyperlink ref="O31" r:id="rId31" xr:uid="{B2A3A2E4-A598-499D-8F57-43F54F143C2A}"/>
    <hyperlink ref="O25" r:id="rId32" xr:uid="{D6A67807-A726-4FC2-AE6E-F7CFE64FA5E5}"/>
    <hyperlink ref="O38" r:id="rId33" xr:uid="{FA6AA4AE-7F07-43D1-B475-ADE11A5D51B1}"/>
    <hyperlink ref="O36" r:id="rId34" xr:uid="{73308212-AB40-4B94-A6D0-81801AA0D5F8}"/>
  </hyperlinks>
  <pageMargins left="0.7" right="0.7" top="0.75" bottom="0.75" header="0.3" footer="0.3"/>
  <pageSetup paperSize="9" orientation="portrait" r:id="rId35"/>
  <drawing r:id="rId36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C136235-2BFA-4BB3-B55E-DD5D1B5A6F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17366710-AC7E-47E9-9C16-92DA5B886F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F123719C-CE24-424B-AE7B-05DE0273EE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8889188E-23A9-43D3-9A58-E48A975443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C2970B8D-60AF-46CA-9F16-4FEBB845EF3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72D375E0-90B3-4916-941F-EB395C1768E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E68F916A-9B57-4C40-B85E-5DD0692EA8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O33</xm:sqref>
        </x14:conditionalFormatting>
        <x14:conditionalFormatting xmlns:xm="http://schemas.microsoft.com/office/excel/2006/main">
          <x14:cfRule type="dataBar" id="{6587D1F0-11F4-4B33-9E8B-1CCB30807F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O40</xm:sqref>
        </x14:conditionalFormatting>
        <x14:conditionalFormatting xmlns:xm="http://schemas.microsoft.com/office/excel/2006/main">
          <x14:cfRule type="dataBar" id="{3095F24A-CC3C-4211-97FA-77C7CD90E2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C425534F-2132-4E3E-9E27-4731DA9BFC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O29</xm:sqref>
        </x14:conditionalFormatting>
        <x14:conditionalFormatting xmlns:xm="http://schemas.microsoft.com/office/excel/2006/main">
          <x14:cfRule type="dataBar" id="{66F3904F-387C-4CAD-BEC6-08FB319883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O47</xm:sqref>
        </x14:conditionalFormatting>
        <x14:conditionalFormatting xmlns:xm="http://schemas.microsoft.com/office/excel/2006/main">
          <x14:cfRule type="dataBar" id="{0840C77E-1C20-4E52-9B84-C937166616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O49</xm:sqref>
        </x14:conditionalFormatting>
        <x14:conditionalFormatting xmlns:xm="http://schemas.microsoft.com/office/excel/2006/main">
          <x14:cfRule type="dataBar" id="{A36A295E-890B-44B2-8B87-7FA091974D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HP</cp:lastModifiedBy>
  <dcterms:created xsi:type="dcterms:W3CDTF">2019-12-12T10:34:26Z</dcterms:created>
  <dcterms:modified xsi:type="dcterms:W3CDTF">2022-07-27T14:48:45Z</dcterms:modified>
</cp:coreProperties>
</file>