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ChristianRaun-EthercatDesign\Deliverables\Interface_Board\BOM\"/>
    </mc:Choice>
  </mc:AlternateContent>
  <bookViews>
    <workbookView xWindow="28680" yWindow="-120" windowWidth="29040" windowHeight="15840"/>
  </bookViews>
  <sheets>
    <sheet name="2 Boards" sheetId="2" r:id="rId1"/>
    <sheet name="5 Boards" sheetId="1" r:id="rId2"/>
  </sheets>
  <calcPr calcId="162913"/>
</workbook>
</file>

<file path=xl/calcChain.xml><?xml version="1.0" encoding="utf-8"?>
<calcChain xmlns="http://schemas.openxmlformats.org/spreadsheetml/2006/main">
  <c r="M11" i="2" l="1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10" i="2"/>
  <c r="Q56" i="2"/>
  <c r="B56" i="2"/>
  <c r="Q55" i="2"/>
  <c r="B55" i="2"/>
  <c r="Q54" i="2"/>
  <c r="B54" i="2"/>
  <c r="Q53" i="2"/>
  <c r="B53" i="2"/>
  <c r="B52" i="2"/>
  <c r="Q51" i="2"/>
  <c r="B51" i="2"/>
  <c r="Q50" i="2"/>
  <c r="B50" i="2"/>
  <c r="Q49" i="2"/>
  <c r="B49" i="2"/>
  <c r="Q48" i="2"/>
  <c r="B48" i="2"/>
  <c r="Q47" i="2"/>
  <c r="B47" i="2"/>
  <c r="Q46" i="2"/>
  <c r="B46" i="2"/>
  <c r="B45" i="2"/>
  <c r="Q44" i="2"/>
  <c r="B44" i="2"/>
  <c r="Q43" i="2"/>
  <c r="B43" i="2"/>
  <c r="Q42" i="2"/>
  <c r="B42" i="2"/>
  <c r="Q41" i="2"/>
  <c r="B41" i="2"/>
  <c r="Q40" i="2"/>
  <c r="B40" i="2"/>
  <c r="Q39" i="2"/>
  <c r="B39" i="2"/>
  <c r="B38" i="2"/>
  <c r="Q37" i="2"/>
  <c r="B37" i="2"/>
  <c r="Q36" i="2"/>
  <c r="B36" i="2"/>
  <c r="Q35" i="2"/>
  <c r="B35" i="2"/>
  <c r="Q34" i="2"/>
  <c r="B34" i="2"/>
  <c r="Q33" i="2"/>
  <c r="B33" i="2"/>
  <c r="Q32" i="2"/>
  <c r="B32" i="2"/>
  <c r="Q31" i="2"/>
  <c r="B31" i="2"/>
  <c r="Q30" i="2"/>
  <c r="B30" i="2"/>
  <c r="Q29" i="2"/>
  <c r="B29" i="2"/>
  <c r="Q28" i="2"/>
  <c r="B28" i="2"/>
  <c r="Q27" i="2"/>
  <c r="B27" i="2"/>
  <c r="Q26" i="2"/>
  <c r="B26" i="2"/>
  <c r="Q25" i="2"/>
  <c r="B25" i="2"/>
  <c r="Q24" i="2"/>
  <c r="B24" i="2"/>
  <c r="Q23" i="2"/>
  <c r="B23" i="2"/>
  <c r="Q22" i="2"/>
  <c r="B22" i="2"/>
  <c r="Q21" i="2"/>
  <c r="B21" i="2"/>
  <c r="Q20" i="2"/>
  <c r="B20" i="2"/>
  <c r="Q19" i="2"/>
  <c r="B19" i="2"/>
  <c r="Q18" i="2"/>
  <c r="B18" i="2"/>
  <c r="Q17" i="2"/>
  <c r="B17" i="2"/>
  <c r="Q16" i="2"/>
  <c r="B16" i="2"/>
  <c r="Q15" i="2"/>
  <c r="B15" i="2"/>
  <c r="Q14" i="2"/>
  <c r="B14" i="2"/>
  <c r="Q13" i="2"/>
  <c r="B13" i="2"/>
  <c r="Q12" i="2"/>
  <c r="B12" i="2"/>
  <c r="Q11" i="2"/>
  <c r="B11" i="2"/>
  <c r="Q10" i="2"/>
  <c r="B10" i="2"/>
  <c r="Q57" i="2" l="1"/>
  <c r="Q58" i="2" s="1"/>
  <c r="Q56" i="1"/>
  <c r="M56" i="1"/>
  <c r="B56" i="1"/>
  <c r="Q55" i="1"/>
  <c r="M55" i="1"/>
  <c r="B55" i="1"/>
  <c r="Q54" i="1"/>
  <c r="M54" i="1"/>
  <c r="B54" i="1"/>
  <c r="Q53" i="1"/>
  <c r="M53" i="1"/>
  <c r="B53" i="1"/>
  <c r="M52" i="1"/>
  <c r="B52" i="1"/>
  <c r="Q51" i="1"/>
  <c r="M51" i="1"/>
  <c r="B51" i="1"/>
  <c r="Q50" i="1"/>
  <c r="M50" i="1"/>
  <c r="B50" i="1"/>
  <c r="Q49" i="1"/>
  <c r="M49" i="1"/>
  <c r="B49" i="1"/>
  <c r="Q48" i="1"/>
  <c r="M48" i="1"/>
  <c r="B48" i="1"/>
  <c r="Q47" i="1"/>
  <c r="M47" i="1"/>
  <c r="B47" i="1"/>
  <c r="Q46" i="1"/>
  <c r="M46" i="1"/>
  <c r="B46" i="1"/>
  <c r="M45" i="1"/>
  <c r="B45" i="1"/>
  <c r="Q44" i="1"/>
  <c r="M44" i="1"/>
  <c r="B44" i="1"/>
  <c r="Q43" i="1"/>
  <c r="M43" i="1"/>
  <c r="B43" i="1"/>
  <c r="Q42" i="1"/>
  <c r="M42" i="1"/>
  <c r="B42" i="1"/>
  <c r="Q41" i="1"/>
  <c r="M41" i="1"/>
  <c r="B41" i="1"/>
  <c r="Q40" i="1"/>
  <c r="M40" i="1"/>
  <c r="B40" i="1"/>
  <c r="Q39" i="1"/>
  <c r="M39" i="1"/>
  <c r="B39" i="1"/>
  <c r="M38" i="1"/>
  <c r="B38" i="1"/>
  <c r="Q37" i="1"/>
  <c r="M37" i="1"/>
  <c r="B37" i="1"/>
  <c r="Q36" i="1"/>
  <c r="M36" i="1"/>
  <c r="B36" i="1"/>
  <c r="Q35" i="1"/>
  <c r="M35" i="1"/>
  <c r="B35" i="1"/>
  <c r="Q34" i="1"/>
  <c r="M34" i="1"/>
  <c r="B34" i="1"/>
  <c r="Q33" i="1"/>
  <c r="M33" i="1"/>
  <c r="B33" i="1"/>
  <c r="Q32" i="1"/>
  <c r="M32" i="1"/>
  <c r="B32" i="1"/>
  <c r="Q31" i="1"/>
  <c r="M31" i="1"/>
  <c r="B31" i="1"/>
  <c r="Q30" i="1"/>
  <c r="M30" i="1"/>
  <c r="B30" i="1"/>
  <c r="Q29" i="1"/>
  <c r="M29" i="1"/>
  <c r="B29" i="1"/>
  <c r="Q28" i="1"/>
  <c r="M28" i="1"/>
  <c r="B28" i="1"/>
  <c r="Q27" i="1"/>
  <c r="M27" i="1"/>
  <c r="B27" i="1"/>
  <c r="Q26" i="1"/>
  <c r="M26" i="1"/>
  <c r="B26" i="1"/>
  <c r="Q25" i="1"/>
  <c r="M25" i="1"/>
  <c r="B25" i="1"/>
  <c r="Q24" i="1"/>
  <c r="M24" i="1"/>
  <c r="B24" i="1"/>
  <c r="Q23" i="1"/>
  <c r="M23" i="1"/>
  <c r="B23" i="1"/>
  <c r="Q22" i="1"/>
  <c r="M22" i="1"/>
  <c r="B22" i="1"/>
  <c r="Q21" i="1"/>
  <c r="M21" i="1"/>
  <c r="B21" i="1"/>
  <c r="Q20" i="1"/>
  <c r="M20" i="1"/>
  <c r="B20" i="1"/>
  <c r="Q19" i="1"/>
  <c r="M19" i="1"/>
  <c r="B19" i="1"/>
  <c r="Q18" i="1"/>
  <c r="M18" i="1"/>
  <c r="B18" i="1"/>
  <c r="Q17" i="1"/>
  <c r="M17" i="1"/>
  <c r="B17" i="1"/>
  <c r="Q16" i="1"/>
  <c r="M16" i="1"/>
  <c r="B16" i="1"/>
  <c r="Q15" i="1"/>
  <c r="M15" i="1"/>
  <c r="B15" i="1"/>
  <c r="Q14" i="1"/>
  <c r="M14" i="1"/>
  <c r="B14" i="1"/>
  <c r="Q13" i="1"/>
  <c r="M13" i="1"/>
  <c r="B13" i="1"/>
  <c r="Q12" i="1"/>
  <c r="M12" i="1"/>
  <c r="B12" i="1"/>
  <c r="Q57" i="1" l="1"/>
  <c r="Q58" i="1" s="1"/>
  <c r="Q11" i="1"/>
  <c r="Q10" i="1"/>
  <c r="M11" i="1"/>
  <c r="M10" i="1"/>
  <c r="B11" i="1"/>
  <c r="B10" i="1"/>
</calcChain>
</file>

<file path=xl/sharedStrings.xml><?xml version="1.0" encoding="utf-8"?>
<sst xmlns="http://schemas.openxmlformats.org/spreadsheetml/2006/main" count="1005" uniqueCount="306">
  <si>
    <t>Component list</t>
  </si>
  <si>
    <t>Source Data From:</t>
  </si>
  <si>
    <t>Project:</t>
  </si>
  <si>
    <t>Variant:</t>
  </si>
  <si>
    <t>#</t>
  </si>
  <si>
    <t xml:space="preserve">Total Component Cost </t>
  </si>
  <si>
    <t>Single Board Cost</t>
  </si>
  <si>
    <t>Bill of Materials for Project [Interface_Board.PrjPcb] (No PCB Document Selected)</t>
  </si>
  <si>
    <t>Interface_Board.PrjPcb</t>
  </si>
  <si>
    <t>None</t>
  </si>
  <si>
    <t>Item Type</t>
  </si>
  <si>
    <t>Capacitor</t>
  </si>
  <si>
    <t>Diode</t>
  </si>
  <si>
    <t>Inductor</t>
  </si>
  <si>
    <t>Header</t>
  </si>
  <si>
    <t>Resistor</t>
  </si>
  <si>
    <t>Potentiometer</t>
  </si>
  <si>
    <t>IC</t>
  </si>
  <si>
    <t>Designator</t>
  </si>
  <si>
    <t>C1</t>
  </si>
  <si>
    <t>C2</t>
  </si>
  <si>
    <t>C3, C9, C11, C22, C23, C26, C27</t>
  </si>
  <si>
    <t>C4, C5, C10</t>
  </si>
  <si>
    <t>C6, C7</t>
  </si>
  <si>
    <t>C8</t>
  </si>
  <si>
    <t>C12, C20</t>
  </si>
  <si>
    <t>C13, C14, C25</t>
  </si>
  <si>
    <t>C15</t>
  </si>
  <si>
    <t>C16, C17</t>
  </si>
  <si>
    <t>C18</t>
  </si>
  <si>
    <t>C19</t>
  </si>
  <si>
    <t>C21, C24</t>
  </si>
  <si>
    <t>C28, C29</t>
  </si>
  <si>
    <t>C30, C31, C32, C33, C34, C35, C36, C37</t>
  </si>
  <si>
    <t>C38, C39</t>
  </si>
  <si>
    <t>C40</t>
  </si>
  <si>
    <t>D1</t>
  </si>
  <si>
    <t>D2</t>
  </si>
  <si>
    <t>D3</t>
  </si>
  <si>
    <t>D5</t>
  </si>
  <si>
    <t>J1</t>
  </si>
  <si>
    <t>J2, J3</t>
  </si>
  <si>
    <t>J4</t>
  </si>
  <si>
    <t>L1</t>
  </si>
  <si>
    <t>L2</t>
  </si>
  <si>
    <t>P1</t>
  </si>
  <si>
    <t>P2, P3</t>
  </si>
  <si>
    <t>Q1</t>
  </si>
  <si>
    <t>R1, R5</t>
  </si>
  <si>
    <t>R2</t>
  </si>
  <si>
    <t>R3, R4</t>
  </si>
  <si>
    <t>R6, R11</t>
  </si>
  <si>
    <t>R7</t>
  </si>
  <si>
    <t>R8</t>
  </si>
  <si>
    <t>R9</t>
  </si>
  <si>
    <t>R10</t>
  </si>
  <si>
    <t>R12, R22</t>
  </si>
  <si>
    <t>R13</t>
  </si>
  <si>
    <t>R14, R15, R16, R17, R18, R19, R20, R21</t>
  </si>
  <si>
    <t>R33, R39</t>
  </si>
  <si>
    <t>SB1, SB2</t>
  </si>
  <si>
    <t>U1</t>
  </si>
  <si>
    <t>U2</t>
  </si>
  <si>
    <t>U3</t>
  </si>
  <si>
    <t>U4</t>
  </si>
  <si>
    <t>Description</t>
  </si>
  <si>
    <t>CAP CER 4.7UF 10V X5R 0402</t>
  </si>
  <si>
    <t>CAP CER 0.47UF 16V X5R 0402</t>
  </si>
  <si>
    <t>CAP CER 0.1UF 25V X7R 0402</t>
  </si>
  <si>
    <t>CAP CER 0.1UF 100V X7R 0603</t>
  </si>
  <si>
    <t>100uF 50V ±20% SMD,D6.3xL7.7mm Aluminum Electrolytic Capacitors - SMD ROHS</t>
  </si>
  <si>
    <t>CAP CER 0.022UF 100V X7R 0603</t>
  </si>
  <si>
    <t>CAP CER 0.1UF 10V X5R 0201</t>
  </si>
  <si>
    <t>CAP CER 10UF 50V X5R 0805</t>
  </si>
  <si>
    <t>CAP CER 6.8PF 50V C0G 0603</t>
  </si>
  <si>
    <t>CAP CER 100UF 16V X5R 1210</t>
  </si>
  <si>
    <t>50V 6.8nF ±10% 0201 Multilayer Ceramic Capacitors MLCC - SMD/SMT ROHS</t>
  </si>
  <si>
    <t>50V 3nF 0402 Multilayer Ceramic Capacitors MLCC - SMD/SMT ROHS</t>
  </si>
  <si>
    <t>CAP CER 1UF 10V X5R 0402</t>
  </si>
  <si>
    <t>CAP CER 22UF 10V X5R 0603</t>
  </si>
  <si>
    <t>CAP CER 10PF 25V C0G 0201</t>
  </si>
  <si>
    <t>CAP CER 0.022UF 16V X5R 0402</t>
  </si>
  <si>
    <t>CAP CER 1000PF 25V X5R 0201</t>
  </si>
  <si>
    <t>8.6A 69.4V 47.8V 43V Unidirectional SMB(DO-214AA) TVS ROHS</t>
  </si>
  <si>
    <t>DIODE SCHOTTKY 60V 5A SMA</t>
  </si>
  <si>
    <t>SOD-523 Schottky Barrier Diodes (SBD) ROHS</t>
  </si>
  <si>
    <t>Schottky Barrier Diode SK36, DO-214AB, 3A/60V</t>
  </si>
  <si>
    <t>P=2.54mm Female Headers,SMD,ROHS</t>
  </si>
  <si>
    <t>Through Hole Ethernet Connectors/Modular Connectors (RJ45 RJ11) ROHS</t>
  </si>
  <si>
    <t>CONN HEADER 4 POS 2.54mm SMD</t>
  </si>
  <si>
    <t>FIXED IND 4.7UH 1.6A 157MOHM SMD</t>
  </si>
  <si>
    <t>2A 68uH ±20% 2.5A SMD,6.6x7.1mm Power Inductors ROHS</t>
  </si>
  <si>
    <t>Straight 2.54mm Black Brass 1x4P Plugin,P=2.54mm Pin Headers ROHS</t>
  </si>
  <si>
    <t>CONN HEADER VERT 2POS 2.54MM</t>
  </si>
  <si>
    <t>Test Point ON</t>
  </si>
  <si>
    <t>MOSFET N-CH 20V 4.2A SOT23</t>
  </si>
  <si>
    <t>RES SMD 10K OHM 1% 1/20W 0201</t>
  </si>
  <si>
    <t>RES SMD 10 OHM 1% 1/10W 0603</t>
  </si>
  <si>
    <t>500mW ±5% 110mΩ 1210 Chip Resistor - Surface Mount ROHS</t>
  </si>
  <si>
    <t>RES 105K OHM 1% 1/20W 0201</t>
  </si>
  <si>
    <t>RES SMD 20K OHM 0.1% 1/10W 0603</t>
  </si>
  <si>
    <t>±25% 20kΩ SMD Variable Resistors/Potentiometers ROHS</t>
  </si>
  <si>
    <t>50mW Thick Film Resistors ±1% 7.87kΩ 0201 Chip Resistor - Surface Mount ROHS</t>
  </si>
  <si>
    <t>Res 140K Ohm 1% 1/20W 0201</t>
  </si>
  <si>
    <t>RES SMD 10K OHM 5% 1/20W 0201</t>
  </si>
  <si>
    <t>50mW Thick Film Resistors ±1% 681kΩ 0201 Chip Resistor - Surface Mount ROHS</t>
  </si>
  <si>
    <t>RES SMD 49.9 OHM 1% 1/20W 0201</t>
  </si>
  <si>
    <t>RES 330 OHM 0.5% 1/20W 0201</t>
  </si>
  <si>
    <t>Solder Bridge ON</t>
  </si>
  <si>
    <t>70dB@(100Hz) 1.5A Fixed 3.3V~3.3V Positive 6V SOT-223 Linear Voltage Regulators (LDO) ROHS</t>
  </si>
  <si>
    <t>IC REG BCK SPLIT RAIL ADJ 10MSOP</t>
  </si>
  <si>
    <t>IC STEPPER MOTOR DVR SPI 36QFN</t>
  </si>
  <si>
    <t>IC REG BUCK 5V 2A TSOT26</t>
  </si>
  <si>
    <t>Footprint</t>
  </si>
  <si>
    <t>Cap-0402</t>
  </si>
  <si>
    <t>Cap0603</t>
  </si>
  <si>
    <t>RVT1H101M0607</t>
  </si>
  <si>
    <t>CAP-0201</t>
  </si>
  <si>
    <t>Cap-0805</t>
  </si>
  <si>
    <t>Cap-0603</t>
  </si>
  <si>
    <t>Cap-1210</t>
  </si>
  <si>
    <t>SMB_</t>
  </si>
  <si>
    <t>SMA</t>
  </si>
  <si>
    <t>MSK4010</t>
  </si>
  <si>
    <t>PHF254SMD-x</t>
  </si>
  <si>
    <t>HY951180A</t>
  </si>
  <si>
    <t>1125N1202SNM</t>
  </si>
  <si>
    <t>IND-1210</t>
  </si>
  <si>
    <t>HDR1X4_</t>
  </si>
  <si>
    <t>HDR1X2</t>
  </si>
  <si>
    <t>TEST POINT</t>
  </si>
  <si>
    <t>IRLML2502TRPBF</t>
  </si>
  <si>
    <t>Res-0201</t>
  </si>
  <si>
    <t>Res-0603</t>
  </si>
  <si>
    <t>Res_1210</t>
  </si>
  <si>
    <t>VG039NCHXTB203</t>
  </si>
  <si>
    <t>Solder Bridge</t>
  </si>
  <si>
    <t>SOT- 223</t>
  </si>
  <si>
    <t>10-HVSSOP - New</t>
  </si>
  <si>
    <t>TMC2130-LA-T</t>
  </si>
  <si>
    <t>TSOT-23-6</t>
  </si>
  <si>
    <t>Manufacturer Part Number</t>
  </si>
  <si>
    <t>CC0402KRX5R6BB475</t>
  </si>
  <si>
    <t>CC0402KRX5R7BB474</t>
  </si>
  <si>
    <t>CC0402KRX7R8BB104</t>
  </si>
  <si>
    <t>CC0603KRX7R0BB104</t>
  </si>
  <si>
    <t>CGA3E2X7R2A223K080AA</t>
  </si>
  <si>
    <t>CC0201KRX5R6BB104</t>
  </si>
  <si>
    <t>GRM21BR61H106ME43L</t>
  </si>
  <si>
    <t>CGA3E2C0G1H6R8D080AA</t>
  </si>
  <si>
    <t>EMK325ABJ107MM-P</t>
  </si>
  <si>
    <t>0201B682K500NT</t>
  </si>
  <si>
    <t>0402B302K500NT</t>
  </si>
  <si>
    <t>CC0402KRX5R6BB105</t>
  </si>
  <si>
    <t>CC0603MRX5R6BB226</t>
  </si>
  <si>
    <t>CGA1A2C0G1E100D030BA</t>
  </si>
  <si>
    <t>CC0402KRX5R7BB223</t>
  </si>
  <si>
    <t>CC0201KRX5R8BB102</t>
  </si>
  <si>
    <t>SMBJ43A</t>
  </si>
  <si>
    <t>SS56</t>
  </si>
  <si>
    <t>SS36</t>
  </si>
  <si>
    <t>DFE322512F-4R7M=P2</t>
  </si>
  <si>
    <t>PSPMAA0605H-680M-IGF</t>
  </si>
  <si>
    <t>B-2100S04P-A110</t>
  </si>
  <si>
    <t>RC0201FR-0710KL</t>
  </si>
  <si>
    <t>RC0603FR-0710RL</t>
  </si>
  <si>
    <t>FRL1210JR110TS</t>
  </si>
  <si>
    <t>RC0201FR-07105KL</t>
  </si>
  <si>
    <t>RT0603BRD0720KL</t>
  </si>
  <si>
    <t>0201WMF7871TEE</t>
  </si>
  <si>
    <t>WR02X1403FAL</t>
  </si>
  <si>
    <t>RC0201JR-0710KL</t>
  </si>
  <si>
    <t>0201WMF6813TEE</t>
  </si>
  <si>
    <t>RC0201FR-0749R9L</t>
  </si>
  <si>
    <t>RC0201DR-07330RL</t>
  </si>
  <si>
    <t>BL8071CLATR33</t>
  </si>
  <si>
    <t>TPS54240DGQR</t>
  </si>
  <si>
    <t>AP63205WU-7</t>
  </si>
  <si>
    <t>Manufacturer</t>
  </si>
  <si>
    <t>Yageo</t>
  </si>
  <si>
    <t>ROQANG</t>
  </si>
  <si>
    <t>TDK</t>
  </si>
  <si>
    <t>Murata</t>
  </si>
  <si>
    <t>Taiyo Yuden</t>
  </si>
  <si>
    <t>FH (Guangdong Fenghua Advanced Tech)</t>
  </si>
  <si>
    <t>RUILON</t>
  </si>
  <si>
    <t>MDD</t>
  </si>
  <si>
    <t>Tak Cheong</t>
  </si>
  <si>
    <t>ON Semiconductor / Fairchild</t>
  </si>
  <si>
    <t>RTLECS</t>
  </si>
  <si>
    <t>HANRUN</t>
  </si>
  <si>
    <t>PROD Tech</t>
  </si>
  <si>
    <t>Ckmtw</t>
  </si>
  <si>
    <t>TE Connectivity</t>
  </si>
  <si>
    <t>International Rectifier</t>
  </si>
  <si>
    <t>FOJAN</t>
  </si>
  <si>
    <t>HDK(Hokuriku Elec Industry)</t>
  </si>
  <si>
    <t>UNI-ROYAL(Uniroyal Elec)</t>
  </si>
  <si>
    <t>Walsin Technologies</t>
  </si>
  <si>
    <t>BL(Shanghai Belling)</t>
  </si>
  <si>
    <t>Texas Instruments</t>
  </si>
  <si>
    <t>Trinamic</t>
  </si>
  <si>
    <t>Diodes</t>
  </si>
  <si>
    <t>LCSC Part Number</t>
  </si>
  <si>
    <t>C326586</t>
  </si>
  <si>
    <t>C527010</t>
  </si>
  <si>
    <t>C105883</t>
  </si>
  <si>
    <t>C3151829</t>
  </si>
  <si>
    <t>C190183</t>
  </si>
  <si>
    <t>C90143</t>
  </si>
  <si>
    <t>C285015</t>
  </si>
  <si>
    <t>C2857967</t>
  </si>
  <si>
    <t>C106254</t>
  </si>
  <si>
    <t>C109447</t>
  </si>
  <si>
    <t>C16015</t>
  </si>
  <si>
    <t>C703083</t>
  </si>
  <si>
    <t>C2983094</t>
  </si>
  <si>
    <t>C124378</t>
  </si>
  <si>
    <t>C106225</t>
  </si>
  <si>
    <t>C109318</t>
  </si>
  <si>
    <t>C3000678</t>
  </si>
  <si>
    <t>C273297</t>
  </si>
  <si>
    <t>C723637</t>
  </si>
  <si>
    <t>C128550</t>
  </si>
  <si>
    <t>C473937</t>
  </si>
  <si>
    <t>C367500</t>
  </si>
  <si>
    <t>C138117</t>
  </si>
  <si>
    <t>C423447</t>
  </si>
  <si>
    <t>C155744</t>
  </si>
  <si>
    <t>C851717</t>
  </si>
  <si>
    <t>C401677</t>
  </si>
  <si>
    <t>C53213</t>
  </si>
  <si>
    <t>C2071056</t>
  </si>
  <si>
    <t>4.7uF</t>
  </si>
  <si>
    <t>470nF</t>
  </si>
  <si>
    <t>0.1uF</t>
  </si>
  <si>
    <t>100uF</t>
  </si>
  <si>
    <t>22nF</t>
  </si>
  <si>
    <t>100nF</t>
  </si>
  <si>
    <t>10uF</t>
  </si>
  <si>
    <t>6.8pF</t>
  </si>
  <si>
    <t>6.8nF</t>
  </si>
  <si>
    <t>3nF</t>
  </si>
  <si>
    <t>1uF</t>
  </si>
  <si>
    <t>22uF</t>
  </si>
  <si>
    <t>10pF</t>
  </si>
  <si>
    <t>1nF</t>
  </si>
  <si>
    <t>4.7uH</t>
  </si>
  <si>
    <t>68uH</t>
  </si>
  <si>
    <t>Test Point</t>
  </si>
  <si>
    <t>10K</t>
  </si>
  <si>
    <t>10R</t>
  </si>
  <si>
    <t>110mR</t>
  </si>
  <si>
    <t>105K</t>
  </si>
  <si>
    <t>20K</t>
  </si>
  <si>
    <t>DNP</t>
  </si>
  <si>
    <t>7.87k</t>
  </si>
  <si>
    <t>140K</t>
  </si>
  <si>
    <t>681K</t>
  </si>
  <si>
    <t>49.9R</t>
  </si>
  <si>
    <t>330R</t>
  </si>
  <si>
    <t>Quantity</t>
  </si>
  <si>
    <t>Alternate Part Number</t>
  </si>
  <si>
    <t>Value</t>
  </si>
  <si>
    <t>Quantity (5 Boards)</t>
  </si>
  <si>
    <t>MOQ (5 Boards)</t>
  </si>
  <si>
    <t>Links</t>
  </si>
  <si>
    <t>Unit Cost (5 Boards)</t>
  </si>
  <si>
    <t>Total Cost (5 Boards)</t>
  </si>
  <si>
    <t>Remarks</t>
  </si>
  <si>
    <t>Reviewer Remarks</t>
  </si>
  <si>
    <t>Ethernet Connect</t>
  </si>
  <si>
    <t>Mosfet</t>
  </si>
  <si>
    <t>P4, P5, P6, P7, P8, P9, P10, P11, P12, P13</t>
  </si>
  <si>
    <t>Custom</t>
  </si>
  <si>
    <t>-</t>
  </si>
  <si>
    <t>SOT-23</t>
  </si>
  <si>
    <t>C10222</t>
  </si>
  <si>
    <t>C34677</t>
  </si>
  <si>
    <t>LCSC</t>
  </si>
  <si>
    <t>C915795</t>
  </si>
  <si>
    <t>C2589</t>
  </si>
  <si>
    <t>SOD-523</t>
  </si>
  <si>
    <t>C968723</t>
  </si>
  <si>
    <t>C113803</t>
  </si>
  <si>
    <t>C124375</t>
  </si>
  <si>
    <t>CC0603KRX7R0BB223</t>
  </si>
  <si>
    <t>C313105</t>
  </si>
  <si>
    <t>C440198</t>
  </si>
  <si>
    <t>GRM21BR61H106KE43L</t>
  </si>
  <si>
    <t>C1679</t>
  </si>
  <si>
    <t>0603CG6R8C500NT</t>
  </si>
  <si>
    <t>C161370</t>
  </si>
  <si>
    <t>GRM0335C1E100JA01D</t>
  </si>
  <si>
    <t>C1005X7R223KETS</t>
  </si>
  <si>
    <t>C147616</t>
  </si>
  <si>
    <t>GRM033R11E102KA01D</t>
  </si>
  <si>
    <t>C2929203</t>
  </si>
  <si>
    <t>C2904059</t>
  </si>
  <si>
    <t>Quantity (2 Boards)</t>
  </si>
  <si>
    <t>MOQ (2 Boards)</t>
  </si>
  <si>
    <t>Unit Cost (2 Boards)</t>
  </si>
  <si>
    <t>Total Cost (2 Boards)</t>
  </si>
  <si>
    <t>C919361</t>
  </si>
  <si>
    <t>Aliexpress</t>
  </si>
  <si>
    <t>Do Not 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</si>
</sst>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8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2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u/>
      <sz val="11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8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/>
    <xf numFmtId="0" fontId="9" fillId="3" borderId="5" xfId="0" applyFont="1" applyFill="1" applyBorder="1"/>
    <xf numFmtId="0" fontId="9" fillId="3" borderId="6" xfId="0" applyFont="1" applyFill="1" applyBorder="1"/>
    <xf numFmtId="0" fontId="10" fillId="3" borderId="0" xfId="0" applyFont="1" applyFill="1"/>
    <xf numFmtId="0" fontId="11" fillId="3" borderId="3" xfId="0" applyFont="1" applyFill="1" applyBorder="1" applyAlignment="1" applyProtection="1">
      <alignment horizontal="left" vertical="top"/>
      <protection locked="0"/>
    </xf>
    <xf numFmtId="0" fontId="12" fillId="3" borderId="3" xfId="0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/>
    <xf numFmtId="0" fontId="13" fillId="3" borderId="6" xfId="0" applyFont="1" applyFill="1" applyBorder="1"/>
    <xf numFmtId="0" fontId="13" fillId="3" borderId="5" xfId="0" applyFont="1" applyFill="1" applyBorder="1"/>
    <xf numFmtId="0" fontId="11" fillId="3" borderId="5" xfId="0" applyFont="1" applyFill="1" applyBorder="1"/>
    <xf numFmtId="0" fontId="13" fillId="3" borderId="5" xfId="0" applyFont="1" applyFill="1" applyBorder="1" applyAlignment="1">
      <alignment horizontal="left"/>
    </xf>
    <xf numFmtId="0" fontId="16" fillId="3" borderId="0" xfId="0" applyFont="1" applyFill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/>
    <xf numFmtId="164" fontId="13" fillId="3" borderId="0" xfId="0" applyNumberFormat="1" applyFont="1" applyFill="1" applyAlignment="1">
      <alignment horizontal="left"/>
    </xf>
    <xf numFmtId="0" fontId="17" fillId="4" borderId="15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3" fillId="3" borderId="3" xfId="0" applyFont="1" applyFill="1" applyBorder="1" applyAlignment="1" applyProtection="1">
      <alignment horizontal="center" vertical="top"/>
      <protection locked="0"/>
    </xf>
    <xf numFmtId="0" fontId="18" fillId="2" borderId="16" xfId="0" applyFont="1" applyFill="1" applyBorder="1" applyAlignment="1">
      <alignment horizontal="center" vertical="center" wrapText="1"/>
    </xf>
    <xf numFmtId="165" fontId="18" fillId="2" borderId="16" xfId="0" applyNumberFormat="1" applyFont="1" applyFill="1" applyBorder="1" applyAlignment="1">
      <alignment horizontal="center" vertical="center" wrapText="1"/>
    </xf>
    <xf numFmtId="0" fontId="18" fillId="2" borderId="1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vertical="center"/>
      <protection locked="0"/>
    </xf>
    <xf numFmtId="0" fontId="12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>
      <alignment vertical="center"/>
    </xf>
    <xf numFmtId="0" fontId="0" fillId="3" borderId="0" xfId="0" applyFill="1"/>
    <xf numFmtId="0" fontId="11" fillId="4" borderId="16" xfId="0" applyFont="1" applyFill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 wrapText="1"/>
    </xf>
    <xf numFmtId="166" fontId="15" fillId="3" borderId="15" xfId="0" quotePrefix="1" applyNumberFormat="1" applyFont="1" applyFill="1" applyBorder="1" applyAlignment="1">
      <alignment horizontal="center" vertical="center" wrapText="1"/>
    </xf>
    <xf numFmtId="166" fontId="15" fillId="3" borderId="21" xfId="0" applyNumberFormat="1" applyFont="1" applyFill="1" applyBorder="1" applyAlignment="1">
      <alignment horizontal="center" vertical="center"/>
    </xf>
    <xf numFmtId="0" fontId="19" fillId="2" borderId="16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 vertical="center" wrapText="1"/>
    </xf>
    <xf numFmtId="165" fontId="18" fillId="2" borderId="17" xfId="0" applyNumberFormat="1" applyFont="1" applyFill="1" applyBorder="1" applyAlignment="1">
      <alignment horizontal="center" vertical="center" wrapText="1"/>
    </xf>
    <xf numFmtId="0" fontId="21" fillId="2" borderId="16" xfId="0" applyFont="1" applyFill="1" applyBorder="1" applyAlignment="1">
      <alignment horizontal="center" vertical="center" wrapText="1"/>
    </xf>
    <xf numFmtId="0" fontId="21" fillId="2" borderId="17" xfId="0" applyFont="1" applyFill="1" applyBorder="1" applyAlignment="1">
      <alignment horizontal="center" vertical="center" wrapText="1"/>
    </xf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Alignment="1">
      <alignment horizontal="left"/>
    </xf>
    <xf numFmtId="0" fontId="11" fillId="3" borderId="6" xfId="0" quotePrefix="1" applyFont="1" applyFill="1" applyBorder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18" fillId="2" borderId="2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22" fillId="2" borderId="16" xfId="1" applyFill="1" applyBorder="1" applyAlignment="1">
      <alignment horizontal="center" vertical="center" wrapText="1"/>
    </xf>
    <xf numFmtId="0" fontId="22" fillId="2" borderId="17" xfId="1" quotePrefix="1" applyFill="1" applyBorder="1" applyAlignment="1">
      <alignment horizontal="center" vertical="center"/>
    </xf>
    <xf numFmtId="0" fontId="22" fillId="2" borderId="17" xfId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3" borderId="0" xfId="0" applyFont="1" applyFill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0" fontId="20" fillId="3" borderId="20" xfId="0" applyFont="1" applyFill="1" applyBorder="1" applyAlignment="1" applyProtection="1">
      <alignment horizontal="center" vertical="top"/>
      <protection locked="0"/>
    </xf>
    <xf numFmtId="0" fontId="20" fillId="3" borderId="12" xfId="0" applyFont="1" applyFill="1" applyBorder="1" applyAlignment="1" applyProtection="1">
      <alignment horizontal="center" vertical="top"/>
      <protection locked="0"/>
    </xf>
    <xf numFmtId="0" fontId="24" fillId="2" borderId="17" xfId="0" applyFont="1" applyFill="1" applyBorder="1" applyAlignment="1">
      <alignment horizontal="center" vertical="center" wrapText="1"/>
    </xf>
    <xf numFmtId="0" fontId="25" fillId="2" borderId="16" xfId="0" applyFont="1" applyFill="1" applyBorder="1" applyAlignment="1">
      <alignment horizontal="center" vertical="center" wrapText="1"/>
    </xf>
    <xf numFmtId="0" fontId="26" fillId="2" borderId="16" xfId="1" applyFont="1" applyFill="1" applyBorder="1" applyAlignment="1">
      <alignment horizontal="center" vertical="center" wrapText="1"/>
    </xf>
    <xf numFmtId="165" fontId="25" fillId="2" borderId="16" xfId="0" applyNumberFormat="1" applyFont="1" applyFill="1" applyBorder="1" applyAlignment="1">
      <alignment horizontal="center" vertical="center" wrapText="1"/>
    </xf>
    <xf numFmtId="0" fontId="19" fillId="2" borderId="16" xfId="0" applyFont="1" applyFill="1" applyBorder="1" applyAlignment="1">
      <alignment horizontal="center" wrapText="1"/>
    </xf>
    <xf numFmtId="0" fontId="22" fillId="2" borderId="17" xfId="1" quotePrefix="1" applyFill="1" applyBorder="1" applyAlignment="1">
      <alignment horizontal="center" vertical="center" wrapText="1"/>
    </xf>
    <xf numFmtId="165" fontId="23" fillId="2" borderId="17" xfId="1" applyNumberFormat="1" applyFont="1" applyFill="1" applyBorder="1" applyAlignment="1">
      <alignment horizontal="center" vertical="center"/>
    </xf>
    <xf numFmtId="0" fontId="27" fillId="2" borderId="16" xfId="0" applyFont="1" applyFill="1" applyBorder="1" applyAlignment="1">
      <alignment horizontal="center" vertical="center" wrapText="1"/>
    </xf>
    <xf numFmtId="165" fontId="27" fillId="2" borderId="16" xfId="0" applyNumberFormat="1" applyFont="1" applyFill="1" applyBorder="1" applyAlignment="1">
      <alignment horizontal="center" vertical="center" wrapText="1"/>
    </xf>
    <xf numFmtId="0" fontId="27" fillId="2" borderId="22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221825" y="620017"/>
          <a:ext cx="1714500" cy="11040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927550" y="620017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csc.com/product-detail/Multilayer-Ceramic-Capacitors-MLCC-SMD-SMT_YAGEO-CC0402KRX5R6BB105_C106254.html" TargetMode="External"/><Relationship Id="rId18" Type="http://schemas.openxmlformats.org/officeDocument/2006/relationships/hyperlink" Target="https://www.lcsc.com/product-detail/Inductors-SMD_Murata-Electronics-DFE322512F-4R7M-P2_C703083.html" TargetMode="External"/><Relationship Id="rId26" Type="http://schemas.openxmlformats.org/officeDocument/2006/relationships/hyperlink" Target="https://www.lcsc.com/product-detail/Chip-Resistor-Surface-Mount_YAGEO-RT0603BRD0720KL_C723637.html" TargetMode="External"/><Relationship Id="rId39" Type="http://schemas.openxmlformats.org/officeDocument/2006/relationships/hyperlink" Target="https://www.lcsc.com/product-detail/Multilayer-Ceramic-Capacitors-MLCC-SMD-SMT_FH-Guangdong-Fenghua-Advanced-Tech-0603CG6R8C500NT_C1679.html" TargetMode="External"/><Relationship Id="rId21" Type="http://schemas.openxmlformats.org/officeDocument/2006/relationships/hyperlink" Target="https://www.lcsc.com/product-detail/Pin-Headers_Ckmtw-Shenzhen-Cankemeng-B-2100S02P-A110_C124375.html" TargetMode="External"/><Relationship Id="rId34" Type="http://schemas.openxmlformats.org/officeDocument/2006/relationships/hyperlink" Target="https://www.lcsc.com/product-detail/Linear-Voltage-Regulators-LDO_BL-Shanghai-Belling-BL8071CLATR33_C401677.html" TargetMode="External"/><Relationship Id="rId42" Type="http://schemas.openxmlformats.org/officeDocument/2006/relationships/hyperlink" Target="https://www.lcsc.com/product-detail/Multilayer-Ceramic-Capacitors-MLCC-SMD-SMT_Murata-Electronics-GRM033R11E102KA01D_C2929203.html" TargetMode="External"/><Relationship Id="rId7" Type="http://schemas.openxmlformats.org/officeDocument/2006/relationships/hyperlink" Target="https://www.lcsc.com/product-detail/Multilayer-Ceramic-Capacitors-MLCC-SMD-SMT_YAGEO-CC0603KRX7R0BB104_C113803.html" TargetMode="External"/><Relationship Id="rId2" Type="http://schemas.openxmlformats.org/officeDocument/2006/relationships/hyperlink" Target="https://lcsc.com/product-detail/Motor-Driver-ICs_TRINAMIC-Motion-Control-GmbH-TMC2130-LA-T_C915795.html" TargetMode="External"/><Relationship Id="rId16" Type="http://schemas.openxmlformats.org/officeDocument/2006/relationships/hyperlink" Target="https://www.lcsc.com/product-detail/Schottky-Barrier-Diodes-SBD_MDD-Microdiode-Electronics-SS36_C16015.html" TargetMode="External"/><Relationship Id="rId29" Type="http://schemas.openxmlformats.org/officeDocument/2006/relationships/hyperlink" Target="https://www.lcsc.com/product-detail/Chip-Resistor-Surface-Mount_Walsin-Tech-Corp-WR02X1403FAL_C367500.html" TargetMode="External"/><Relationship Id="rId1" Type="http://schemas.openxmlformats.org/officeDocument/2006/relationships/hyperlink" Target="https://www.lcsc.com/product-detail/Ethernet-Connectors-Modular-Connectors-RJ45-RJ11_HANRUN-Zhongshan-HanRun-Elec-HY951180A_C34677.html" TargetMode="External"/><Relationship Id="rId6" Type="http://schemas.openxmlformats.org/officeDocument/2006/relationships/hyperlink" Target="https://www.lcsc.com/product-detail/Multilayer-Ceramic-Capacitors-MLCC-SMD-SMT_YAGEO-CC0402KRX7R8BB104_C105883.html" TargetMode="External"/><Relationship Id="rId11" Type="http://schemas.openxmlformats.org/officeDocument/2006/relationships/hyperlink" Target="https://www.lcsc.com/product-detail/Multilayer-Ceramic-Capacitors-MLCC-SMD-SMT_FH-Guangdong-Fenghua-Advanced-Tech-0201B682K500NT_C285015.html" TargetMode="External"/><Relationship Id="rId24" Type="http://schemas.openxmlformats.org/officeDocument/2006/relationships/hyperlink" Target="https://www.lcsc.com/product-detail/Chip-Resistor-Surface-Mount_FOJAN-FRL1210JR110TS_C3000678.html" TargetMode="External"/><Relationship Id="rId32" Type="http://schemas.openxmlformats.org/officeDocument/2006/relationships/hyperlink" Target="https://www.lcsc.com/product-detail/Chip-Resistor-Surface-Mount_YAGEO-RC0201FR-0749R9L_C155744.html" TargetMode="External"/><Relationship Id="rId37" Type="http://schemas.openxmlformats.org/officeDocument/2006/relationships/hyperlink" Target="https://www.lcsc.com/product-detail/Multilayer-Ceramic-Capacitors-MLCC-SMD-SMT_YAGEO-CC0603KRX7R0BB223_C313105.html" TargetMode="External"/><Relationship Id="rId40" Type="http://schemas.openxmlformats.org/officeDocument/2006/relationships/hyperlink" Target="https://www.lcsc.com/product-detail/Multilayer-Ceramic-Capacitors-MLCC-SMD-SMT_Murata-Electronics-GRM0335C1E100JA01D_C161370.html" TargetMode="External"/><Relationship Id="rId45" Type="http://schemas.openxmlformats.org/officeDocument/2006/relationships/hyperlink" Target="https://tr.aliexpress.com/item/32814431059.html" TargetMode="External"/><Relationship Id="rId5" Type="http://schemas.openxmlformats.org/officeDocument/2006/relationships/hyperlink" Target="https://www.lcsc.com/product-detail/Multilayer-Ceramic-Capacitors-MLCC-SMD-SMT_YAGEO-CC0402KRX5R7BB474_C527010.html" TargetMode="External"/><Relationship Id="rId15" Type="http://schemas.openxmlformats.org/officeDocument/2006/relationships/hyperlink" Target="https://www.lcsc.com/product-detail/TVS_RUILON-Shenzhen-Ruilongyuan-Elec-SMBJ43A_C10222.html" TargetMode="External"/><Relationship Id="rId23" Type="http://schemas.openxmlformats.org/officeDocument/2006/relationships/hyperlink" Target="https://www.lcsc.com/product-detail/Chip-Resistor-Surface-Mount_YAGEO-RC0603FR-0710RL_C109318.html" TargetMode="External"/><Relationship Id="rId28" Type="http://schemas.openxmlformats.org/officeDocument/2006/relationships/hyperlink" Target="https://www.lcsc.com/product-detail/Chip-Resistor-Surface-Mount_UNI-ROYAL-Uniroyal-Elec-0201WMF7871TEE_C473937.html" TargetMode="External"/><Relationship Id="rId36" Type="http://schemas.openxmlformats.org/officeDocument/2006/relationships/hyperlink" Target="https://www.lcsc.com/product-detail/DC-DC-Converters_Diodes-Incorporated-AP63205WU-7_C2071056.html" TargetMode="External"/><Relationship Id="rId10" Type="http://schemas.openxmlformats.org/officeDocument/2006/relationships/hyperlink" Target="https://www.lcsc.com/product-detail/Multilayer-Ceramic-Capacitors-MLCC-SMD-SMT_Taiyo-Yuden-EMK325ABJ107MM-P_C90143.html" TargetMode="External"/><Relationship Id="rId19" Type="http://schemas.openxmlformats.org/officeDocument/2006/relationships/hyperlink" Target="https://www.lcsc.com/product-detail/Power-Inductors_PROD-Tech-PSPMAA0605H-680M-IGF_C2983094.html" TargetMode="External"/><Relationship Id="rId31" Type="http://schemas.openxmlformats.org/officeDocument/2006/relationships/hyperlink" Target="https://www.lcsc.com/product-detail/Chip-Resistor-Surface-Mount_UNI-ROYAL-Uniroyal-Elec-0201WMF6813TEE_C423447.html" TargetMode="External"/><Relationship Id="rId44" Type="http://schemas.openxmlformats.org/officeDocument/2006/relationships/hyperlink" Target="https://www.lcsc.com/product-detail/Pin-Headers_BOOMELE-Boom-Precision-Elec-C919361_C919361.html" TargetMode="External"/><Relationship Id="rId4" Type="http://schemas.openxmlformats.org/officeDocument/2006/relationships/hyperlink" Target="https://www.lcsc.com/product-detail/Multilayer-Ceramic-Capacitors-MLCC-SMD-SMT_YAGEO-CC0402KRX5R6BB475_C326586.html" TargetMode="External"/><Relationship Id="rId9" Type="http://schemas.openxmlformats.org/officeDocument/2006/relationships/hyperlink" Target="https://www.lcsc.com/product-detail/Multilayer-Ceramic-Capacitors-MLCC-SMD-SMT_YAGEO-CC0201KRX5R6BB104_C190183.html" TargetMode="External"/><Relationship Id="rId14" Type="http://schemas.openxmlformats.org/officeDocument/2006/relationships/hyperlink" Target="https://www.lcsc.com/product-detail/Multilayer-Ceramic-Capacitors-MLCC-SMD-SMT_YAGEO-CC0603MRX5R6BB226_C109447.html" TargetMode="External"/><Relationship Id="rId22" Type="http://schemas.openxmlformats.org/officeDocument/2006/relationships/hyperlink" Target="https://www.lcsc.com/product-detail/Chip-Resistor-Surface-Mount_YAGEO-RC0201FR-0710KL_C106225.html" TargetMode="External"/><Relationship Id="rId27" Type="http://schemas.openxmlformats.org/officeDocument/2006/relationships/hyperlink" Target="https://www.lcsc.com/product-detail/Variable-Resistors-Potentiometers_HDK-Hokuriku-Elec-Industry-VG039NCHXTB203_C128550.html" TargetMode="External"/><Relationship Id="rId30" Type="http://schemas.openxmlformats.org/officeDocument/2006/relationships/hyperlink" Target="https://www.lcsc.com/product-detail/Chip-Resistor-Surface-Mount_YAGEO-RC0201JR-0710KL_C138117.html" TargetMode="External"/><Relationship Id="rId35" Type="http://schemas.openxmlformats.org/officeDocument/2006/relationships/hyperlink" Target="https://www.lcsc.com/product-detail/DC-DC-Converters_Texas-Instruments-TPS54240DGQR_C53213.html" TargetMode="External"/><Relationship Id="rId43" Type="http://schemas.openxmlformats.org/officeDocument/2006/relationships/hyperlink" Target="https://www.lcsc.com/product-detail/Schottky-Barrier-Diodes-SBD_LGE-SS56_C2904059.html" TargetMode="External"/><Relationship Id="rId8" Type="http://schemas.openxmlformats.org/officeDocument/2006/relationships/hyperlink" Target="https://www.lcsc.com/product-detail/Aluminum-Electrolytic-Capacitors-SMD_ROQANG-RVT1H101M0607_C3151829.html" TargetMode="External"/><Relationship Id="rId3" Type="http://schemas.openxmlformats.org/officeDocument/2006/relationships/hyperlink" Target="https://lcsc.com/product-detail/MOSFETs_Infineon-Technologies-IRLML2502TRPBF_C2589.html" TargetMode="External"/><Relationship Id="rId12" Type="http://schemas.openxmlformats.org/officeDocument/2006/relationships/hyperlink" Target="https://www.lcsc.com/product-detail/Multilayer-Ceramic-Capacitors-MLCC-SMD-SMT_FH-Guangdong-Fenghua-Advanced-Tech-0402B302K500NT_C2857967.html" TargetMode="External"/><Relationship Id="rId17" Type="http://schemas.openxmlformats.org/officeDocument/2006/relationships/hyperlink" Target="https://www.lcsc.com/product-detail/Schottky-Barrier-Diodes-SBD_Tak-Cheong-MSK4010_C968723.html" TargetMode="External"/><Relationship Id="rId25" Type="http://schemas.openxmlformats.org/officeDocument/2006/relationships/hyperlink" Target="https://www.lcsc.com/product-detail/Chip-Resistor-Surface-Mount_YAGEO-RC0201FR-07105KL_C273297.html" TargetMode="External"/><Relationship Id="rId33" Type="http://schemas.openxmlformats.org/officeDocument/2006/relationships/hyperlink" Target="https://www.lcsc.com/product-detail/Chip-Resistor-Surface-Mount_YAGEO-RC0201DR-07330RL_C851717.html" TargetMode="External"/><Relationship Id="rId38" Type="http://schemas.openxmlformats.org/officeDocument/2006/relationships/hyperlink" Target="https://www.lcsc.com/product-detail/Multilayer-Ceramic-Capacitors-MLCC-SMD-SMT_Murata-Electronics-GRM21BR61H106KE43L_C440198.html" TargetMode="External"/><Relationship Id="rId46" Type="http://schemas.openxmlformats.org/officeDocument/2006/relationships/drawing" Target="../drawings/drawing1.xml"/><Relationship Id="rId20" Type="http://schemas.openxmlformats.org/officeDocument/2006/relationships/hyperlink" Target="https://www.lcsc.com/product-detail/Pin-Headers_Ckmtw-Shenzhen-Cankemeng-B-2100S04P-A110_C124378.html" TargetMode="External"/><Relationship Id="rId41" Type="http://schemas.openxmlformats.org/officeDocument/2006/relationships/hyperlink" Target="https://www.lcsc.com/product-detail/Multilayer-Ceramic-Capacitors-MLCC-SMD-SMT_Darfon-Elec-C1005X7R223KETS_C147616.html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csc.com/product-detail/Multilayer-Ceramic-Capacitors-MLCC-SMD-SMT_YAGEO-CC0402KRX5R6BB105_C106254.html" TargetMode="External"/><Relationship Id="rId18" Type="http://schemas.openxmlformats.org/officeDocument/2006/relationships/hyperlink" Target="https://www.lcsc.com/product-detail/Inductors-SMD_Murata-Electronics-DFE322512F-4R7M-P2_C703083.html" TargetMode="External"/><Relationship Id="rId26" Type="http://schemas.openxmlformats.org/officeDocument/2006/relationships/hyperlink" Target="https://www.lcsc.com/product-detail/Chip-Resistor-Surface-Mount_YAGEO-RT0603BRD0720KL_C723637.html" TargetMode="External"/><Relationship Id="rId39" Type="http://schemas.openxmlformats.org/officeDocument/2006/relationships/hyperlink" Target="https://www.lcsc.com/product-detail/Multilayer-Ceramic-Capacitors-MLCC-SMD-SMT_FH-Guangdong-Fenghua-Advanced-Tech-0603CG6R8C500NT_C1679.html" TargetMode="External"/><Relationship Id="rId21" Type="http://schemas.openxmlformats.org/officeDocument/2006/relationships/hyperlink" Target="https://www.lcsc.com/product-detail/Pin-Headers_Ckmtw-Shenzhen-Cankemeng-B-2100S02P-A110_C124375.html" TargetMode="External"/><Relationship Id="rId34" Type="http://schemas.openxmlformats.org/officeDocument/2006/relationships/hyperlink" Target="https://www.lcsc.com/product-detail/Linear-Voltage-Regulators-LDO_BL-Shanghai-Belling-BL8071CLATR33_C401677.html" TargetMode="External"/><Relationship Id="rId42" Type="http://schemas.openxmlformats.org/officeDocument/2006/relationships/hyperlink" Target="https://www.lcsc.com/product-detail/Multilayer-Ceramic-Capacitors-MLCC-SMD-SMT_Murata-Electronics-GRM033R11E102KA01D_C2929203.html" TargetMode="External"/><Relationship Id="rId47" Type="http://schemas.openxmlformats.org/officeDocument/2006/relationships/drawing" Target="../drawings/drawing2.xml"/><Relationship Id="rId7" Type="http://schemas.openxmlformats.org/officeDocument/2006/relationships/hyperlink" Target="https://www.lcsc.com/product-detail/Multilayer-Ceramic-Capacitors-MLCC-SMD-SMT_YAGEO-CC0603KRX7R0BB104_C113803.html" TargetMode="External"/><Relationship Id="rId2" Type="http://schemas.openxmlformats.org/officeDocument/2006/relationships/hyperlink" Target="https://lcsc.com/product-detail/Motor-Driver-ICs_TRINAMIC-Motion-Control-GmbH-TMC2130-LA-T_C915795.html" TargetMode="External"/><Relationship Id="rId16" Type="http://schemas.openxmlformats.org/officeDocument/2006/relationships/hyperlink" Target="https://www.lcsc.com/product-detail/Schottky-Barrier-Diodes-SBD_MDD-Microdiode-Electronics-SS36_C16015.html" TargetMode="External"/><Relationship Id="rId29" Type="http://schemas.openxmlformats.org/officeDocument/2006/relationships/hyperlink" Target="https://www.lcsc.com/product-detail/Chip-Resistor-Surface-Mount_Walsin-Tech-Corp-WR02X1403FAL_C367500.html" TargetMode="External"/><Relationship Id="rId1" Type="http://schemas.openxmlformats.org/officeDocument/2006/relationships/hyperlink" Target="https://www.lcsc.com/product-detail/Ethernet-Connectors-Modular-Connectors-RJ45-RJ11_HANRUN-Zhongshan-HanRun-Elec-HY951180A_C34677.html" TargetMode="External"/><Relationship Id="rId6" Type="http://schemas.openxmlformats.org/officeDocument/2006/relationships/hyperlink" Target="https://www.lcsc.com/product-detail/Multilayer-Ceramic-Capacitors-MLCC-SMD-SMT_YAGEO-CC0402KRX7R8BB104_C105883.html" TargetMode="External"/><Relationship Id="rId11" Type="http://schemas.openxmlformats.org/officeDocument/2006/relationships/hyperlink" Target="https://www.lcsc.com/product-detail/Multilayer-Ceramic-Capacitors-MLCC-SMD-SMT_FH-Guangdong-Fenghua-Advanced-Tech-0201B682K500NT_C285015.html" TargetMode="External"/><Relationship Id="rId24" Type="http://schemas.openxmlformats.org/officeDocument/2006/relationships/hyperlink" Target="https://www.lcsc.com/product-detail/Chip-Resistor-Surface-Mount_FOJAN-FRL1210JR110TS_C3000678.html" TargetMode="External"/><Relationship Id="rId32" Type="http://schemas.openxmlformats.org/officeDocument/2006/relationships/hyperlink" Target="https://www.lcsc.com/product-detail/Chip-Resistor-Surface-Mount_YAGEO-RC0201FR-0749R9L_C155744.html" TargetMode="External"/><Relationship Id="rId37" Type="http://schemas.openxmlformats.org/officeDocument/2006/relationships/hyperlink" Target="https://www.lcsc.com/product-detail/Multilayer-Ceramic-Capacitors-MLCC-SMD-SMT_YAGEO-CC0603KRX7R0BB223_C313105.html" TargetMode="External"/><Relationship Id="rId40" Type="http://schemas.openxmlformats.org/officeDocument/2006/relationships/hyperlink" Target="https://www.lcsc.com/product-detail/Multilayer-Ceramic-Capacitors-MLCC-SMD-SMT_Murata-Electronics-GRM0335C1E100JA01D_C161370.html" TargetMode="External"/><Relationship Id="rId45" Type="http://schemas.openxmlformats.org/officeDocument/2006/relationships/hyperlink" Target="https://tr.aliexpress.com/item/32814431059.html" TargetMode="External"/><Relationship Id="rId5" Type="http://schemas.openxmlformats.org/officeDocument/2006/relationships/hyperlink" Target="https://www.lcsc.com/product-detail/Multilayer-Ceramic-Capacitors-MLCC-SMD-SMT_YAGEO-CC0402KRX5R7BB474_C527010.html" TargetMode="External"/><Relationship Id="rId15" Type="http://schemas.openxmlformats.org/officeDocument/2006/relationships/hyperlink" Target="https://www.lcsc.com/product-detail/TVS_RUILON-Shenzhen-Ruilongyuan-Elec-SMBJ43A_C10222.html" TargetMode="External"/><Relationship Id="rId23" Type="http://schemas.openxmlformats.org/officeDocument/2006/relationships/hyperlink" Target="https://www.lcsc.com/product-detail/Chip-Resistor-Surface-Mount_YAGEO-RC0603FR-0710RL_C109318.html" TargetMode="External"/><Relationship Id="rId28" Type="http://schemas.openxmlformats.org/officeDocument/2006/relationships/hyperlink" Target="https://www.lcsc.com/product-detail/Chip-Resistor-Surface-Mount_UNI-ROYAL-Uniroyal-Elec-0201WMF7871TEE_C473937.html" TargetMode="External"/><Relationship Id="rId36" Type="http://schemas.openxmlformats.org/officeDocument/2006/relationships/hyperlink" Target="https://www.lcsc.com/product-detail/DC-DC-Converters_Diodes-Incorporated-AP63205WU-7_C2071056.html" TargetMode="External"/><Relationship Id="rId10" Type="http://schemas.openxmlformats.org/officeDocument/2006/relationships/hyperlink" Target="https://www.lcsc.com/product-detail/Multilayer-Ceramic-Capacitors-MLCC-SMD-SMT_Taiyo-Yuden-EMK325ABJ107MM-P_C90143.html" TargetMode="External"/><Relationship Id="rId19" Type="http://schemas.openxmlformats.org/officeDocument/2006/relationships/hyperlink" Target="https://www.lcsc.com/product-detail/Power-Inductors_PROD-Tech-PSPMAA0605H-680M-IGF_C2983094.html" TargetMode="External"/><Relationship Id="rId31" Type="http://schemas.openxmlformats.org/officeDocument/2006/relationships/hyperlink" Target="https://www.lcsc.com/product-detail/Chip-Resistor-Surface-Mount_UNI-ROYAL-Uniroyal-Elec-0201WMF6813TEE_C423447.html" TargetMode="External"/><Relationship Id="rId44" Type="http://schemas.openxmlformats.org/officeDocument/2006/relationships/hyperlink" Target="https://www.lcsc.com/product-detail/Pin-Headers_BOOMELE-Boom-Precision-Elec-C919361_C919361.html" TargetMode="External"/><Relationship Id="rId4" Type="http://schemas.openxmlformats.org/officeDocument/2006/relationships/hyperlink" Target="https://www.lcsc.com/product-detail/Multilayer-Ceramic-Capacitors-MLCC-SMD-SMT_YAGEO-CC0402KRX5R6BB475_C326586.html" TargetMode="External"/><Relationship Id="rId9" Type="http://schemas.openxmlformats.org/officeDocument/2006/relationships/hyperlink" Target="https://www.lcsc.com/product-detail/Multilayer-Ceramic-Capacitors-MLCC-SMD-SMT_YAGEO-CC0201KRX5R6BB104_C190183.html" TargetMode="External"/><Relationship Id="rId14" Type="http://schemas.openxmlformats.org/officeDocument/2006/relationships/hyperlink" Target="https://www.lcsc.com/product-detail/Multilayer-Ceramic-Capacitors-MLCC-SMD-SMT_YAGEO-CC0603MRX5R6BB226_C109447.html" TargetMode="External"/><Relationship Id="rId22" Type="http://schemas.openxmlformats.org/officeDocument/2006/relationships/hyperlink" Target="https://www.lcsc.com/product-detail/Chip-Resistor-Surface-Mount_YAGEO-RC0201FR-0710KL_C106225.html" TargetMode="External"/><Relationship Id="rId27" Type="http://schemas.openxmlformats.org/officeDocument/2006/relationships/hyperlink" Target="https://www.lcsc.com/product-detail/Variable-Resistors-Potentiometers_HDK-Hokuriku-Elec-Industry-VG039NCHXTB203_C128550.html" TargetMode="External"/><Relationship Id="rId30" Type="http://schemas.openxmlformats.org/officeDocument/2006/relationships/hyperlink" Target="https://www.lcsc.com/product-detail/Chip-Resistor-Surface-Mount_YAGEO-RC0201JR-0710KL_C138117.html" TargetMode="External"/><Relationship Id="rId35" Type="http://schemas.openxmlformats.org/officeDocument/2006/relationships/hyperlink" Target="https://www.lcsc.com/product-detail/DC-DC-Converters_Texas-Instruments-TPS54240DGQR_C53213.html" TargetMode="External"/><Relationship Id="rId43" Type="http://schemas.openxmlformats.org/officeDocument/2006/relationships/hyperlink" Target="https://www.lcsc.com/product-detail/Schottky-Barrier-Diodes-SBD_LGE-SS56_C2904059.html" TargetMode="External"/><Relationship Id="rId8" Type="http://schemas.openxmlformats.org/officeDocument/2006/relationships/hyperlink" Target="https://www.lcsc.com/product-detail/Aluminum-Electrolytic-Capacitors-SMD_ROQANG-RVT1H101M0607_C3151829.html" TargetMode="External"/><Relationship Id="rId3" Type="http://schemas.openxmlformats.org/officeDocument/2006/relationships/hyperlink" Target="https://lcsc.com/product-detail/MOSFETs_Infineon-Technologies-IRLML2502TRPBF_C2589.html" TargetMode="External"/><Relationship Id="rId12" Type="http://schemas.openxmlformats.org/officeDocument/2006/relationships/hyperlink" Target="https://www.lcsc.com/product-detail/Multilayer-Ceramic-Capacitors-MLCC-SMD-SMT_FH-Guangdong-Fenghua-Advanced-Tech-0402B302K500NT_C2857967.html" TargetMode="External"/><Relationship Id="rId17" Type="http://schemas.openxmlformats.org/officeDocument/2006/relationships/hyperlink" Target="https://www.lcsc.com/product-detail/Schottky-Barrier-Diodes-SBD_Tak-Cheong-MSK4010_C968723.html" TargetMode="External"/><Relationship Id="rId25" Type="http://schemas.openxmlformats.org/officeDocument/2006/relationships/hyperlink" Target="https://www.lcsc.com/product-detail/Chip-Resistor-Surface-Mount_YAGEO-RC0201FR-07105KL_C273297.html" TargetMode="External"/><Relationship Id="rId33" Type="http://schemas.openxmlformats.org/officeDocument/2006/relationships/hyperlink" Target="https://www.lcsc.com/product-detail/Chip-Resistor-Surface-Mount_YAGEO-RC0201DR-07330RL_C851717.html" TargetMode="External"/><Relationship Id="rId38" Type="http://schemas.openxmlformats.org/officeDocument/2006/relationships/hyperlink" Target="https://www.lcsc.com/product-detail/Multilayer-Ceramic-Capacitors-MLCC-SMD-SMT_Murata-Electronics-GRM21BR61H106KE43L_C440198.html" TargetMode="External"/><Relationship Id="rId46" Type="http://schemas.openxmlformats.org/officeDocument/2006/relationships/printerSettings" Target="../printerSettings/printerSettings1.bin"/><Relationship Id="rId20" Type="http://schemas.openxmlformats.org/officeDocument/2006/relationships/hyperlink" Target="https://www.lcsc.com/product-detail/Pin-Headers_Ckmtw-Shenzhen-Cankemeng-B-2100S04P-A110_C124378.html" TargetMode="External"/><Relationship Id="rId41" Type="http://schemas.openxmlformats.org/officeDocument/2006/relationships/hyperlink" Target="https://www.lcsc.com/product-detail/Multilayer-Ceramic-Capacitors-MLCC-SMD-SMT_Darfon-Elec-C1005X7R223KETS_C147616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8"/>
  <sheetViews>
    <sheetView tabSelected="1" topLeftCell="F32" workbookViewId="0">
      <selection activeCell="Q63" sqref="Q63"/>
    </sheetView>
  </sheetViews>
  <sheetFormatPr defaultRowHeight="15" x14ac:dyDescent="0.25"/>
  <cols>
    <col min="2" max="2" width="3" bestFit="1" customWidth="1"/>
    <col min="3" max="3" width="14.28515625" customWidth="1"/>
    <col min="4" max="4" width="31.140625" bestFit="1" customWidth="1"/>
    <col min="5" max="5" width="45" customWidth="1"/>
    <col min="6" max="6" width="17.42578125" customWidth="1"/>
    <col min="7" max="7" width="25.28515625" bestFit="1" customWidth="1"/>
    <col min="8" max="8" width="18.140625" customWidth="1"/>
    <col min="9" max="9" width="21.5703125" bestFit="1" customWidth="1"/>
    <col min="10" max="10" width="17" bestFit="1" customWidth="1"/>
    <col min="11" max="11" width="6.140625" bestFit="1" customWidth="1"/>
    <col min="12" max="12" width="8.7109375" bestFit="1" customWidth="1"/>
    <col min="13" max="13" width="18.28515625" bestFit="1" customWidth="1"/>
    <col min="14" max="14" width="15.140625" bestFit="1" customWidth="1"/>
    <col min="15" max="15" width="9.140625" bestFit="1" customWidth="1"/>
    <col min="16" max="16" width="18.7109375" bestFit="1" customWidth="1"/>
    <col min="17" max="17" width="19.28515625" bestFit="1" customWidth="1"/>
    <col min="19" max="19" width="26.140625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65"/>
      <c r="L1" s="65"/>
      <c r="M1" s="65"/>
      <c r="N1" s="65"/>
      <c r="O1" s="65"/>
      <c r="P1" s="65"/>
      <c r="Q1" s="65"/>
      <c r="R1" s="65"/>
      <c r="S1" s="66"/>
    </row>
    <row r="2" spans="1:19" ht="32.25" thickBot="1" x14ac:dyDescent="0.3">
      <c r="A2" s="1"/>
      <c r="B2" s="21"/>
      <c r="C2" s="31"/>
      <c r="D2" s="11" t="s">
        <v>0</v>
      </c>
      <c r="E2" s="11"/>
      <c r="F2" s="55" t="s">
        <v>7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2"/>
      <c r="D3" s="13" t="s">
        <v>1</v>
      </c>
      <c r="E3" s="13"/>
      <c r="F3" s="56" t="s">
        <v>8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67"/>
    </row>
    <row r="4" spans="1:19" x14ac:dyDescent="0.25">
      <c r="A4" s="1"/>
      <c r="B4" s="22"/>
      <c r="C4" s="32"/>
      <c r="D4" s="13" t="s">
        <v>2</v>
      </c>
      <c r="E4" s="13"/>
      <c r="F4" s="57" t="s">
        <v>8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68"/>
    </row>
    <row r="5" spans="1:19" x14ac:dyDescent="0.25">
      <c r="A5" s="1"/>
      <c r="B5" s="22"/>
      <c r="C5" s="32"/>
      <c r="D5" s="13" t="s">
        <v>3</v>
      </c>
      <c r="E5" s="13"/>
      <c r="F5" s="58" t="s">
        <v>9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68"/>
    </row>
    <row r="6" spans="1:19" x14ac:dyDescent="0.25">
      <c r="A6" s="1"/>
      <c r="B6" s="23"/>
      <c r="C6" s="33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68"/>
    </row>
    <row r="7" spans="1:19" x14ac:dyDescent="0.25">
      <c r="A7" s="1"/>
      <c r="B7" s="24"/>
      <c r="C7" s="34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68"/>
    </row>
    <row r="8" spans="1:19" ht="15.75" thickBot="1" x14ac:dyDescent="0.3">
      <c r="A8" s="1"/>
      <c r="B8" s="27"/>
      <c r="C8" s="35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68"/>
    </row>
    <row r="9" spans="1:19" ht="15.75" thickBot="1" x14ac:dyDescent="0.3">
      <c r="A9" s="1"/>
      <c r="B9" s="30" t="s">
        <v>4</v>
      </c>
      <c r="C9" s="30" t="s">
        <v>10</v>
      </c>
      <c r="D9" s="30" t="s">
        <v>18</v>
      </c>
      <c r="E9" s="30" t="s">
        <v>65</v>
      </c>
      <c r="F9" s="30" t="s">
        <v>113</v>
      </c>
      <c r="G9" s="30" t="s">
        <v>141</v>
      </c>
      <c r="H9" s="30" t="s">
        <v>178</v>
      </c>
      <c r="I9" s="30" t="s">
        <v>262</v>
      </c>
      <c r="J9" s="30" t="s">
        <v>203</v>
      </c>
      <c r="K9" s="30" t="s">
        <v>263</v>
      </c>
      <c r="L9" s="30" t="s">
        <v>261</v>
      </c>
      <c r="M9" s="30" t="s">
        <v>299</v>
      </c>
      <c r="N9" s="30" t="s">
        <v>300</v>
      </c>
      <c r="O9" s="30" t="s">
        <v>266</v>
      </c>
      <c r="P9" s="30" t="s">
        <v>301</v>
      </c>
      <c r="Q9" s="30" t="s">
        <v>302</v>
      </c>
      <c r="R9" s="30" t="s">
        <v>269</v>
      </c>
      <c r="S9" s="30" t="s">
        <v>270</v>
      </c>
    </row>
    <row r="10" spans="1:19" s="61" customFormat="1" x14ac:dyDescent="0.25">
      <c r="A10" s="60"/>
      <c r="B10" s="46">
        <f>ROW(B10) - ROW($B$9)</f>
        <v>1</v>
      </c>
      <c r="C10" s="54" t="s">
        <v>11</v>
      </c>
      <c r="D10" s="37" t="s">
        <v>19</v>
      </c>
      <c r="E10" s="37" t="s">
        <v>66</v>
      </c>
      <c r="F10" s="37" t="s">
        <v>114</v>
      </c>
      <c r="G10" s="37" t="s">
        <v>142</v>
      </c>
      <c r="H10" s="37" t="s">
        <v>179</v>
      </c>
      <c r="I10" s="37" t="s">
        <v>275</v>
      </c>
      <c r="J10" s="37" t="s">
        <v>204</v>
      </c>
      <c r="K10" s="37" t="s">
        <v>233</v>
      </c>
      <c r="L10" s="37">
        <v>1</v>
      </c>
      <c r="M10" s="37">
        <f>L10*2</f>
        <v>2</v>
      </c>
      <c r="N10" s="37">
        <v>50</v>
      </c>
      <c r="O10" s="62" t="s">
        <v>279</v>
      </c>
      <c r="P10" s="38">
        <v>1.4200000000000001E-2</v>
      </c>
      <c r="Q10" s="38">
        <f>P10*N10</f>
        <v>0.71000000000000008</v>
      </c>
      <c r="R10" s="37"/>
      <c r="S10" s="79"/>
    </row>
    <row r="11" spans="1:19" s="61" customFormat="1" x14ac:dyDescent="0.25">
      <c r="A11" s="60"/>
      <c r="B11" s="47">
        <f t="shared" ref="B11:B56" si="0">ROW(B11) - ROW($B$9)</f>
        <v>2</v>
      </c>
      <c r="C11" s="54" t="s">
        <v>11</v>
      </c>
      <c r="D11" s="51" t="s">
        <v>20</v>
      </c>
      <c r="E11" s="51" t="s">
        <v>67</v>
      </c>
      <c r="F11" s="51" t="s">
        <v>114</v>
      </c>
      <c r="G11" s="51" t="s">
        <v>143</v>
      </c>
      <c r="H11" s="51" t="s">
        <v>179</v>
      </c>
      <c r="I11" s="51" t="s">
        <v>275</v>
      </c>
      <c r="J11" s="51" t="s">
        <v>205</v>
      </c>
      <c r="K11" s="51" t="s">
        <v>234</v>
      </c>
      <c r="L11" s="51">
        <v>1</v>
      </c>
      <c r="M11" s="37">
        <f t="shared" ref="M11:M56" si="1">L11*2</f>
        <v>2</v>
      </c>
      <c r="N11" s="51">
        <v>50</v>
      </c>
      <c r="O11" s="64" t="s">
        <v>279</v>
      </c>
      <c r="P11" s="52">
        <v>1.77E-2</v>
      </c>
      <c r="Q11" s="52">
        <f t="shared" ref="Q11" si="2">P11*N11</f>
        <v>0.88500000000000001</v>
      </c>
      <c r="R11" s="51"/>
      <c r="S11" s="51"/>
    </row>
    <row r="12" spans="1:19" s="61" customFormat="1" x14ac:dyDescent="0.25">
      <c r="A12" s="60"/>
      <c r="B12" s="46">
        <f>ROW(B12) - ROW($B$9)</f>
        <v>3</v>
      </c>
      <c r="C12" s="54" t="s">
        <v>11</v>
      </c>
      <c r="D12" s="37" t="s">
        <v>21</v>
      </c>
      <c r="E12" s="37" t="s">
        <v>68</v>
      </c>
      <c r="F12" s="37" t="s">
        <v>114</v>
      </c>
      <c r="G12" s="37" t="s">
        <v>144</v>
      </c>
      <c r="H12" s="37" t="s">
        <v>179</v>
      </c>
      <c r="I12" s="37" t="s">
        <v>275</v>
      </c>
      <c r="J12" s="37" t="s">
        <v>206</v>
      </c>
      <c r="K12" s="37" t="s">
        <v>235</v>
      </c>
      <c r="L12" s="37">
        <v>7</v>
      </c>
      <c r="M12" s="37">
        <f t="shared" si="1"/>
        <v>14</v>
      </c>
      <c r="N12" s="37">
        <v>100</v>
      </c>
      <c r="O12" s="62" t="s">
        <v>279</v>
      </c>
      <c r="P12" s="38">
        <v>1.9E-3</v>
      </c>
      <c r="Q12" s="38">
        <f>P12*N12</f>
        <v>0.19</v>
      </c>
      <c r="R12" s="37"/>
      <c r="S12" s="59"/>
    </row>
    <row r="13" spans="1:19" s="61" customFormat="1" x14ac:dyDescent="0.25">
      <c r="A13" s="60"/>
      <c r="B13" s="47">
        <f t="shared" si="0"/>
        <v>4</v>
      </c>
      <c r="C13" s="54" t="s">
        <v>11</v>
      </c>
      <c r="D13" s="51" t="s">
        <v>22</v>
      </c>
      <c r="E13" s="51" t="s">
        <v>69</v>
      </c>
      <c r="F13" s="51" t="s">
        <v>115</v>
      </c>
      <c r="G13" s="51" t="s">
        <v>145</v>
      </c>
      <c r="H13" s="51" t="s">
        <v>179</v>
      </c>
      <c r="I13" s="51"/>
      <c r="J13" s="51" t="s">
        <v>284</v>
      </c>
      <c r="K13" s="51" t="s">
        <v>235</v>
      </c>
      <c r="L13" s="51">
        <v>3</v>
      </c>
      <c r="M13" s="37">
        <f t="shared" si="1"/>
        <v>6</v>
      </c>
      <c r="N13" s="51">
        <v>100</v>
      </c>
      <c r="O13" s="64" t="s">
        <v>279</v>
      </c>
      <c r="P13" s="52">
        <v>5.4999999999999997E-3</v>
      </c>
      <c r="Q13" s="52">
        <f t="shared" ref="Q13" si="3">P13*N13</f>
        <v>0.54999999999999993</v>
      </c>
      <c r="R13" s="51"/>
      <c r="S13" s="59"/>
    </row>
    <row r="14" spans="1:19" s="61" customFormat="1" ht="24" x14ac:dyDescent="0.25">
      <c r="A14" s="60"/>
      <c r="B14" s="46">
        <f>ROW(B14) - ROW($B$9)</f>
        <v>5</v>
      </c>
      <c r="C14" s="53" t="s">
        <v>11</v>
      </c>
      <c r="D14" s="37" t="s">
        <v>23</v>
      </c>
      <c r="E14" s="37" t="s">
        <v>70</v>
      </c>
      <c r="F14" s="37" t="s">
        <v>274</v>
      </c>
      <c r="G14" s="37" t="s">
        <v>116</v>
      </c>
      <c r="H14" s="37" t="s">
        <v>180</v>
      </c>
      <c r="I14" s="37" t="s">
        <v>275</v>
      </c>
      <c r="J14" s="37" t="s">
        <v>207</v>
      </c>
      <c r="K14" s="37" t="s">
        <v>236</v>
      </c>
      <c r="L14" s="37">
        <v>2</v>
      </c>
      <c r="M14" s="37">
        <f t="shared" si="1"/>
        <v>4</v>
      </c>
      <c r="N14" s="37">
        <v>10</v>
      </c>
      <c r="O14" s="62" t="s">
        <v>279</v>
      </c>
      <c r="P14" s="38">
        <v>6.9099999999999995E-2</v>
      </c>
      <c r="Q14" s="38">
        <f>P14*N14</f>
        <v>0.69099999999999995</v>
      </c>
      <c r="R14" s="37"/>
      <c r="S14" s="59"/>
    </row>
    <row r="15" spans="1:19" s="61" customFormat="1" x14ac:dyDescent="0.25">
      <c r="A15" s="60"/>
      <c r="B15" s="47">
        <f t="shared" si="0"/>
        <v>6</v>
      </c>
      <c r="C15" s="53" t="s">
        <v>11</v>
      </c>
      <c r="D15" s="51" t="s">
        <v>24</v>
      </c>
      <c r="E15" s="51" t="s">
        <v>71</v>
      </c>
      <c r="F15" s="51" t="s">
        <v>115</v>
      </c>
      <c r="G15" s="75" t="s">
        <v>146</v>
      </c>
      <c r="H15" s="51" t="s">
        <v>181</v>
      </c>
      <c r="I15" s="51" t="s">
        <v>286</v>
      </c>
      <c r="J15" s="51" t="s">
        <v>287</v>
      </c>
      <c r="K15" s="51" t="s">
        <v>237</v>
      </c>
      <c r="L15" s="51">
        <v>1</v>
      </c>
      <c r="M15" s="37">
        <f t="shared" si="1"/>
        <v>2</v>
      </c>
      <c r="N15" s="51">
        <v>50</v>
      </c>
      <c r="O15" s="64" t="s">
        <v>279</v>
      </c>
      <c r="P15" s="52">
        <v>9.1000000000000004E-3</v>
      </c>
      <c r="Q15" s="52">
        <f t="shared" ref="Q15" si="4">P15*N15</f>
        <v>0.45500000000000002</v>
      </c>
      <c r="R15" s="51"/>
      <c r="S15" s="59"/>
    </row>
    <row r="16" spans="1:19" s="61" customFormat="1" x14ac:dyDescent="0.25">
      <c r="A16" s="60"/>
      <c r="B16" s="46">
        <f>ROW(B16) - ROW($B$9)</f>
        <v>7</v>
      </c>
      <c r="C16" s="53" t="s">
        <v>11</v>
      </c>
      <c r="D16" s="37" t="s">
        <v>25</v>
      </c>
      <c r="E16" s="37" t="s">
        <v>72</v>
      </c>
      <c r="F16" s="37" t="s">
        <v>117</v>
      </c>
      <c r="G16" s="37" t="s">
        <v>147</v>
      </c>
      <c r="H16" s="37" t="s">
        <v>179</v>
      </c>
      <c r="I16" s="37" t="s">
        <v>275</v>
      </c>
      <c r="J16" s="37" t="s">
        <v>208</v>
      </c>
      <c r="K16" s="37" t="s">
        <v>238</v>
      </c>
      <c r="L16" s="37">
        <v>2</v>
      </c>
      <c r="M16" s="37">
        <f t="shared" si="1"/>
        <v>4</v>
      </c>
      <c r="N16" s="37">
        <v>100</v>
      </c>
      <c r="O16" s="62" t="s">
        <v>279</v>
      </c>
      <c r="P16" s="38">
        <v>1.1000000000000001E-3</v>
      </c>
      <c r="Q16" s="38">
        <f>P16*N16</f>
        <v>0.11</v>
      </c>
      <c r="R16" s="37"/>
      <c r="S16" s="59"/>
    </row>
    <row r="17" spans="1:19" s="61" customFormat="1" x14ac:dyDescent="0.25">
      <c r="A17" s="60"/>
      <c r="B17" s="47">
        <f t="shared" si="0"/>
        <v>8</v>
      </c>
      <c r="C17" s="53" t="s">
        <v>11</v>
      </c>
      <c r="D17" s="51" t="s">
        <v>26</v>
      </c>
      <c r="E17" s="51" t="s">
        <v>73</v>
      </c>
      <c r="F17" s="51" t="s">
        <v>118</v>
      </c>
      <c r="G17" s="75" t="s">
        <v>148</v>
      </c>
      <c r="H17" s="51" t="s">
        <v>182</v>
      </c>
      <c r="I17" s="51" t="s">
        <v>289</v>
      </c>
      <c r="J17" s="51" t="s">
        <v>288</v>
      </c>
      <c r="K17" s="51" t="s">
        <v>239</v>
      </c>
      <c r="L17" s="51">
        <v>3</v>
      </c>
      <c r="M17" s="37">
        <f t="shared" si="1"/>
        <v>6</v>
      </c>
      <c r="N17" s="51">
        <v>20</v>
      </c>
      <c r="O17" s="64" t="s">
        <v>279</v>
      </c>
      <c r="P17" s="52">
        <v>7.9399999999999998E-2</v>
      </c>
      <c r="Q17" s="52">
        <f t="shared" ref="Q17" si="5">P17*N17</f>
        <v>1.5880000000000001</v>
      </c>
      <c r="R17" s="51"/>
      <c r="S17" s="59"/>
    </row>
    <row r="18" spans="1:19" s="61" customFormat="1" x14ac:dyDescent="0.25">
      <c r="A18" s="60"/>
      <c r="B18" s="46">
        <f>ROW(B18) - ROW($B$9)</f>
        <v>9</v>
      </c>
      <c r="C18" s="53" t="s">
        <v>11</v>
      </c>
      <c r="D18" s="37" t="s">
        <v>27</v>
      </c>
      <c r="E18" s="37" t="s">
        <v>74</v>
      </c>
      <c r="F18" s="37" t="s">
        <v>119</v>
      </c>
      <c r="G18" s="75" t="s">
        <v>149</v>
      </c>
      <c r="H18" s="37" t="s">
        <v>181</v>
      </c>
      <c r="I18" s="37" t="s">
        <v>291</v>
      </c>
      <c r="J18" s="37" t="s">
        <v>290</v>
      </c>
      <c r="K18" s="37" t="s">
        <v>240</v>
      </c>
      <c r="L18" s="37">
        <v>1</v>
      </c>
      <c r="M18" s="37">
        <f t="shared" si="1"/>
        <v>2</v>
      </c>
      <c r="N18" s="37">
        <v>100</v>
      </c>
      <c r="O18" s="62" t="s">
        <v>279</v>
      </c>
      <c r="P18" s="38">
        <v>3.5000000000000001E-3</v>
      </c>
      <c r="Q18" s="38">
        <f>P18*N18</f>
        <v>0.35000000000000003</v>
      </c>
      <c r="R18" s="37"/>
      <c r="S18" s="59"/>
    </row>
    <row r="19" spans="1:19" s="61" customFormat="1" x14ac:dyDescent="0.25">
      <c r="A19" s="60"/>
      <c r="B19" s="47">
        <f t="shared" si="0"/>
        <v>10</v>
      </c>
      <c r="C19" s="54" t="s">
        <v>11</v>
      </c>
      <c r="D19" s="51" t="s">
        <v>28</v>
      </c>
      <c r="E19" s="51" t="s">
        <v>75</v>
      </c>
      <c r="F19" s="51" t="s">
        <v>120</v>
      </c>
      <c r="G19" s="51" t="s">
        <v>150</v>
      </c>
      <c r="H19" s="51" t="s">
        <v>183</v>
      </c>
      <c r="I19" s="51" t="s">
        <v>275</v>
      </c>
      <c r="J19" s="51" t="s">
        <v>209</v>
      </c>
      <c r="K19" s="51" t="s">
        <v>236</v>
      </c>
      <c r="L19" s="51">
        <v>2</v>
      </c>
      <c r="M19" s="37">
        <f t="shared" si="1"/>
        <v>4</v>
      </c>
      <c r="N19" s="51">
        <v>5</v>
      </c>
      <c r="O19" s="64" t="s">
        <v>279</v>
      </c>
      <c r="P19" s="52">
        <v>0.46139999999999998</v>
      </c>
      <c r="Q19" s="52">
        <f t="shared" ref="Q19" si="6">P19*N19</f>
        <v>2.3069999999999999</v>
      </c>
      <c r="R19" s="51"/>
      <c r="S19" s="59"/>
    </row>
    <row r="20" spans="1:19" s="61" customFormat="1" ht="36" x14ac:dyDescent="0.25">
      <c r="A20" s="60"/>
      <c r="B20" s="46">
        <f>ROW(B20) - ROW($B$9)</f>
        <v>11</v>
      </c>
      <c r="C20" s="53" t="s">
        <v>11</v>
      </c>
      <c r="D20" s="37" t="s">
        <v>29</v>
      </c>
      <c r="E20" s="37" t="s">
        <v>76</v>
      </c>
      <c r="F20" s="37" t="s">
        <v>117</v>
      </c>
      <c r="G20" s="37" t="s">
        <v>151</v>
      </c>
      <c r="H20" s="37" t="s">
        <v>184</v>
      </c>
      <c r="I20" s="37" t="s">
        <v>275</v>
      </c>
      <c r="J20" s="37" t="s">
        <v>210</v>
      </c>
      <c r="K20" s="37" t="s">
        <v>241</v>
      </c>
      <c r="L20" s="37">
        <v>1</v>
      </c>
      <c r="M20" s="37">
        <f t="shared" si="1"/>
        <v>2</v>
      </c>
      <c r="N20" s="37">
        <v>100</v>
      </c>
      <c r="O20" s="62" t="s">
        <v>279</v>
      </c>
      <c r="P20" s="38">
        <v>6.9999999999999999E-4</v>
      </c>
      <c r="Q20" s="38">
        <f>P20*N20</f>
        <v>6.9999999999999993E-2</v>
      </c>
      <c r="R20" s="37"/>
      <c r="S20" s="59"/>
    </row>
    <row r="21" spans="1:19" s="61" customFormat="1" ht="36" x14ac:dyDescent="0.25">
      <c r="A21" s="60"/>
      <c r="B21" s="47">
        <f t="shared" si="0"/>
        <v>12</v>
      </c>
      <c r="C21" s="54" t="s">
        <v>11</v>
      </c>
      <c r="D21" s="51" t="s">
        <v>30</v>
      </c>
      <c r="E21" s="51" t="s">
        <v>77</v>
      </c>
      <c r="F21" s="51" t="s">
        <v>114</v>
      </c>
      <c r="G21" s="51" t="s">
        <v>152</v>
      </c>
      <c r="H21" s="51" t="s">
        <v>184</v>
      </c>
      <c r="I21" s="51" t="s">
        <v>275</v>
      </c>
      <c r="J21" s="51" t="s">
        <v>211</v>
      </c>
      <c r="K21" s="51" t="s">
        <v>242</v>
      </c>
      <c r="L21" s="51">
        <v>1</v>
      </c>
      <c r="M21" s="37">
        <f t="shared" si="1"/>
        <v>2</v>
      </c>
      <c r="N21" s="51">
        <v>100</v>
      </c>
      <c r="O21" s="64" t="s">
        <v>279</v>
      </c>
      <c r="P21" s="52">
        <v>1.5E-3</v>
      </c>
      <c r="Q21" s="52">
        <f t="shared" ref="Q21" si="7">P21*N21</f>
        <v>0.15</v>
      </c>
      <c r="R21" s="51"/>
      <c r="S21" s="59"/>
    </row>
    <row r="22" spans="1:19" s="61" customFormat="1" x14ac:dyDescent="0.25">
      <c r="A22" s="60"/>
      <c r="B22" s="46">
        <f>ROW(B22) - ROW($B$9)</f>
        <v>13</v>
      </c>
      <c r="C22" s="54" t="s">
        <v>11</v>
      </c>
      <c r="D22" s="37" t="s">
        <v>31</v>
      </c>
      <c r="E22" s="37" t="s">
        <v>78</v>
      </c>
      <c r="F22" s="37" t="s">
        <v>114</v>
      </c>
      <c r="G22" s="37" t="s">
        <v>153</v>
      </c>
      <c r="H22" s="37" t="s">
        <v>179</v>
      </c>
      <c r="I22" s="37" t="s">
        <v>275</v>
      </c>
      <c r="J22" s="37" t="s">
        <v>212</v>
      </c>
      <c r="K22" s="37" t="s">
        <v>243</v>
      </c>
      <c r="L22" s="37">
        <v>2</v>
      </c>
      <c r="M22" s="37">
        <f t="shared" si="1"/>
        <v>4</v>
      </c>
      <c r="N22" s="37">
        <v>100</v>
      </c>
      <c r="O22" s="62" t="s">
        <v>279</v>
      </c>
      <c r="P22" s="38">
        <v>2.3E-3</v>
      </c>
      <c r="Q22" s="38">
        <f>P22*N22</f>
        <v>0.22999999999999998</v>
      </c>
      <c r="R22" s="37"/>
      <c r="S22" s="59"/>
    </row>
    <row r="23" spans="1:19" s="61" customFormat="1" x14ac:dyDescent="0.25">
      <c r="A23" s="60"/>
      <c r="B23" s="47">
        <f t="shared" si="0"/>
        <v>14</v>
      </c>
      <c r="C23" s="54" t="s">
        <v>11</v>
      </c>
      <c r="D23" s="51" t="s">
        <v>32</v>
      </c>
      <c r="E23" s="51" t="s">
        <v>79</v>
      </c>
      <c r="F23" s="51" t="s">
        <v>119</v>
      </c>
      <c r="G23" s="51" t="s">
        <v>154</v>
      </c>
      <c r="H23" s="51" t="s">
        <v>179</v>
      </c>
      <c r="I23" s="51" t="s">
        <v>275</v>
      </c>
      <c r="J23" s="51" t="s">
        <v>213</v>
      </c>
      <c r="K23" s="51" t="s">
        <v>244</v>
      </c>
      <c r="L23" s="51">
        <v>2</v>
      </c>
      <c r="M23" s="37">
        <f t="shared" si="1"/>
        <v>4</v>
      </c>
      <c r="N23" s="51">
        <v>20</v>
      </c>
      <c r="O23" s="64" t="s">
        <v>279</v>
      </c>
      <c r="P23" s="52">
        <v>3.2800000000000003E-2</v>
      </c>
      <c r="Q23" s="52">
        <f t="shared" ref="Q23" si="8">P23*N23</f>
        <v>0.65600000000000003</v>
      </c>
      <c r="R23" s="51"/>
      <c r="S23" s="59"/>
    </row>
    <row r="24" spans="1:19" s="61" customFormat="1" x14ac:dyDescent="0.25">
      <c r="A24" s="60"/>
      <c r="B24" s="46">
        <f>ROW(B24) - ROW($B$9)</f>
        <v>15</v>
      </c>
      <c r="C24" s="54" t="s">
        <v>11</v>
      </c>
      <c r="D24" s="37" t="s">
        <v>33</v>
      </c>
      <c r="E24" s="37" t="s">
        <v>80</v>
      </c>
      <c r="F24" s="37" t="s">
        <v>117</v>
      </c>
      <c r="G24" s="75" t="s">
        <v>155</v>
      </c>
      <c r="H24" s="37" t="s">
        <v>181</v>
      </c>
      <c r="I24" s="37" t="s">
        <v>293</v>
      </c>
      <c r="J24" s="37" t="s">
        <v>292</v>
      </c>
      <c r="K24" s="37" t="s">
        <v>245</v>
      </c>
      <c r="L24" s="37">
        <v>8</v>
      </c>
      <c r="M24" s="37">
        <f t="shared" si="1"/>
        <v>16</v>
      </c>
      <c r="N24" s="37">
        <v>100</v>
      </c>
      <c r="O24" s="62" t="s">
        <v>279</v>
      </c>
      <c r="P24" s="38">
        <v>2.3999999999999998E-3</v>
      </c>
      <c r="Q24" s="38">
        <f>P24*N24</f>
        <v>0.24</v>
      </c>
      <c r="R24" s="37"/>
      <c r="S24" s="59"/>
    </row>
    <row r="25" spans="1:19" s="61" customFormat="1" x14ac:dyDescent="0.25">
      <c r="A25" s="60"/>
      <c r="B25" s="47">
        <f t="shared" si="0"/>
        <v>16</v>
      </c>
      <c r="C25" s="54" t="s">
        <v>11</v>
      </c>
      <c r="D25" s="51" t="s">
        <v>34</v>
      </c>
      <c r="E25" s="51" t="s">
        <v>81</v>
      </c>
      <c r="F25" s="51" t="s">
        <v>114</v>
      </c>
      <c r="G25" s="75" t="s">
        <v>156</v>
      </c>
      <c r="H25" s="51" t="s">
        <v>179</v>
      </c>
      <c r="I25" s="51" t="s">
        <v>294</v>
      </c>
      <c r="J25" s="51" t="s">
        <v>295</v>
      </c>
      <c r="K25" s="51" t="s">
        <v>237</v>
      </c>
      <c r="L25" s="51">
        <v>2</v>
      </c>
      <c r="M25" s="37">
        <f t="shared" si="1"/>
        <v>4</v>
      </c>
      <c r="N25" s="51">
        <v>50</v>
      </c>
      <c r="O25" s="64" t="s">
        <v>279</v>
      </c>
      <c r="P25" s="52">
        <v>1.7999999999999999E-2</v>
      </c>
      <c r="Q25" s="52">
        <f t="shared" ref="Q25" si="9">P25*N25</f>
        <v>0.89999999999999991</v>
      </c>
      <c r="R25" s="51"/>
      <c r="S25" s="59"/>
    </row>
    <row r="26" spans="1:19" s="61" customFormat="1" x14ac:dyDescent="0.25">
      <c r="A26" s="60"/>
      <c r="B26" s="46">
        <f>ROW(B26) - ROW($B$9)</f>
        <v>17</v>
      </c>
      <c r="C26" s="54" t="s">
        <v>11</v>
      </c>
      <c r="D26" s="37" t="s">
        <v>35</v>
      </c>
      <c r="E26" s="37" t="s">
        <v>82</v>
      </c>
      <c r="F26" s="37" t="s">
        <v>117</v>
      </c>
      <c r="G26" s="75" t="s">
        <v>157</v>
      </c>
      <c r="H26" s="37" t="s">
        <v>179</v>
      </c>
      <c r="I26" s="37" t="s">
        <v>296</v>
      </c>
      <c r="J26" s="37" t="s">
        <v>297</v>
      </c>
      <c r="K26" s="37" t="s">
        <v>246</v>
      </c>
      <c r="L26" s="37">
        <v>1</v>
      </c>
      <c r="M26" s="37">
        <f t="shared" si="1"/>
        <v>2</v>
      </c>
      <c r="N26" s="37">
        <v>100</v>
      </c>
      <c r="O26" s="62" t="s">
        <v>279</v>
      </c>
      <c r="P26" s="38">
        <v>2E-3</v>
      </c>
      <c r="Q26" s="38">
        <f>P26*N26</f>
        <v>0.2</v>
      </c>
      <c r="R26" s="37"/>
      <c r="S26" s="59"/>
    </row>
    <row r="27" spans="1:19" s="61" customFormat="1" ht="24" x14ac:dyDescent="0.25">
      <c r="A27" s="60"/>
      <c r="B27" s="47">
        <f t="shared" si="0"/>
        <v>18</v>
      </c>
      <c r="C27" s="54" t="s">
        <v>12</v>
      </c>
      <c r="D27" s="51" t="s">
        <v>36</v>
      </c>
      <c r="E27" s="51" t="s">
        <v>83</v>
      </c>
      <c r="F27" s="51" t="s">
        <v>121</v>
      </c>
      <c r="G27" s="51" t="s">
        <v>158</v>
      </c>
      <c r="H27" s="51" t="s">
        <v>185</v>
      </c>
      <c r="I27" s="51" t="s">
        <v>275</v>
      </c>
      <c r="J27" s="37" t="s">
        <v>277</v>
      </c>
      <c r="K27" s="51" t="s">
        <v>275</v>
      </c>
      <c r="L27" s="51">
        <v>1</v>
      </c>
      <c r="M27" s="37">
        <f t="shared" si="1"/>
        <v>2</v>
      </c>
      <c r="N27" s="51">
        <v>5</v>
      </c>
      <c r="O27" s="64" t="s">
        <v>279</v>
      </c>
      <c r="P27" s="52">
        <v>5.3800000000000001E-2</v>
      </c>
      <c r="Q27" s="52">
        <f t="shared" ref="Q27" si="10">P27*N27</f>
        <v>0.26900000000000002</v>
      </c>
      <c r="R27" s="51"/>
      <c r="S27" s="59"/>
    </row>
    <row r="28" spans="1:19" s="61" customFormat="1" x14ac:dyDescent="0.25">
      <c r="A28" s="60"/>
      <c r="B28" s="46">
        <f>ROW(B28) - ROW($B$9)</f>
        <v>19</v>
      </c>
      <c r="C28" s="54" t="s">
        <v>12</v>
      </c>
      <c r="D28" s="37" t="s">
        <v>37</v>
      </c>
      <c r="E28" s="37" t="s">
        <v>84</v>
      </c>
      <c r="F28" s="37" t="s">
        <v>122</v>
      </c>
      <c r="G28" s="37" t="s">
        <v>159</v>
      </c>
      <c r="H28" s="37" t="s">
        <v>186</v>
      </c>
      <c r="I28" s="37" t="s">
        <v>275</v>
      </c>
      <c r="J28" s="37" t="s">
        <v>298</v>
      </c>
      <c r="K28" s="37" t="s">
        <v>275</v>
      </c>
      <c r="L28" s="37">
        <v>1</v>
      </c>
      <c r="M28" s="37">
        <f t="shared" si="1"/>
        <v>2</v>
      </c>
      <c r="N28" s="37">
        <v>10</v>
      </c>
      <c r="O28" s="62" t="s">
        <v>279</v>
      </c>
      <c r="P28" s="38">
        <v>5.7599999999999998E-2</v>
      </c>
      <c r="Q28" s="38">
        <f>P28*N28</f>
        <v>0.57599999999999996</v>
      </c>
      <c r="R28" s="37"/>
      <c r="S28" s="59"/>
    </row>
    <row r="29" spans="1:19" s="61" customFormat="1" x14ac:dyDescent="0.25">
      <c r="A29" s="60"/>
      <c r="B29" s="47">
        <f t="shared" si="0"/>
        <v>20</v>
      </c>
      <c r="C29" s="54" t="s">
        <v>12</v>
      </c>
      <c r="D29" s="51" t="s">
        <v>38</v>
      </c>
      <c r="E29" s="51" t="s">
        <v>85</v>
      </c>
      <c r="F29" s="51" t="s">
        <v>282</v>
      </c>
      <c r="G29" s="51" t="s">
        <v>123</v>
      </c>
      <c r="H29" s="51" t="s">
        <v>187</v>
      </c>
      <c r="I29" s="51" t="s">
        <v>275</v>
      </c>
      <c r="J29" s="51" t="s">
        <v>283</v>
      </c>
      <c r="K29" s="51"/>
      <c r="L29" s="51">
        <v>1</v>
      </c>
      <c r="M29" s="37">
        <f t="shared" si="1"/>
        <v>2</v>
      </c>
      <c r="N29" s="51">
        <v>20</v>
      </c>
      <c r="O29" s="64" t="s">
        <v>279</v>
      </c>
      <c r="P29" s="52">
        <v>2.8400000000000002E-2</v>
      </c>
      <c r="Q29" s="52">
        <f t="shared" ref="Q29" si="11">P29*N29</f>
        <v>0.56800000000000006</v>
      </c>
      <c r="R29" s="51"/>
      <c r="S29" s="59"/>
    </row>
    <row r="30" spans="1:19" s="61" customFormat="1" ht="24" x14ac:dyDescent="0.25">
      <c r="A30" s="60"/>
      <c r="B30" s="46">
        <f>ROW(B30) - ROW($B$9)</f>
        <v>21</v>
      </c>
      <c r="C30" s="53" t="s">
        <v>12</v>
      </c>
      <c r="D30" s="37" t="s">
        <v>39</v>
      </c>
      <c r="E30" s="37" t="s">
        <v>86</v>
      </c>
      <c r="F30" s="37" t="s">
        <v>122</v>
      </c>
      <c r="G30" s="37" t="s">
        <v>160</v>
      </c>
      <c r="H30" s="37" t="s">
        <v>188</v>
      </c>
      <c r="I30" s="37" t="s">
        <v>275</v>
      </c>
      <c r="J30" s="37" t="s">
        <v>214</v>
      </c>
      <c r="K30" s="37"/>
      <c r="L30" s="37">
        <v>1</v>
      </c>
      <c r="M30" s="37">
        <f t="shared" si="1"/>
        <v>2</v>
      </c>
      <c r="N30" s="37">
        <v>20</v>
      </c>
      <c r="O30" s="62" t="s">
        <v>279</v>
      </c>
      <c r="P30" s="38">
        <v>3.3599999999999998E-2</v>
      </c>
      <c r="Q30" s="38">
        <f>P30*N30</f>
        <v>0.67199999999999993</v>
      </c>
      <c r="R30" s="37"/>
      <c r="S30" s="59"/>
    </row>
    <row r="31" spans="1:19" s="61" customFormat="1" x14ac:dyDescent="0.25">
      <c r="A31" s="60"/>
      <c r="B31" s="47">
        <f t="shared" si="0"/>
        <v>22</v>
      </c>
      <c r="C31" s="53" t="s">
        <v>14</v>
      </c>
      <c r="D31" s="51" t="s">
        <v>40</v>
      </c>
      <c r="E31" s="51" t="s">
        <v>87</v>
      </c>
      <c r="F31" s="37" t="s">
        <v>274</v>
      </c>
      <c r="G31" s="51" t="s">
        <v>124</v>
      </c>
      <c r="H31" s="51" t="s">
        <v>189</v>
      </c>
      <c r="I31" s="51" t="s">
        <v>275</v>
      </c>
      <c r="J31" s="51" t="s">
        <v>275</v>
      </c>
      <c r="K31" s="51" t="s">
        <v>275</v>
      </c>
      <c r="L31" s="51">
        <v>1</v>
      </c>
      <c r="M31" s="37">
        <f t="shared" si="1"/>
        <v>2</v>
      </c>
      <c r="N31" s="51">
        <v>3</v>
      </c>
      <c r="O31" s="81" t="s">
        <v>304</v>
      </c>
      <c r="P31" s="52">
        <v>1.3</v>
      </c>
      <c r="Q31" s="52">
        <f t="shared" ref="Q31" si="12">P31*N31</f>
        <v>3.9000000000000004</v>
      </c>
      <c r="R31" s="51"/>
      <c r="S31" s="59"/>
    </row>
    <row r="32" spans="1:19" s="61" customFormat="1" ht="25.5" x14ac:dyDescent="0.25">
      <c r="A32" s="60"/>
      <c r="B32" s="46">
        <f>ROW(B32) - ROW($B$9)</f>
        <v>23</v>
      </c>
      <c r="C32" s="53" t="s">
        <v>271</v>
      </c>
      <c r="D32" s="37" t="s">
        <v>41</v>
      </c>
      <c r="E32" s="37" t="s">
        <v>88</v>
      </c>
      <c r="F32" s="37" t="s">
        <v>274</v>
      </c>
      <c r="G32" s="37" t="s">
        <v>125</v>
      </c>
      <c r="H32" s="37" t="s">
        <v>190</v>
      </c>
      <c r="I32" s="37" t="s">
        <v>275</v>
      </c>
      <c r="J32" s="37" t="s">
        <v>278</v>
      </c>
      <c r="K32" s="37"/>
      <c r="L32" s="37">
        <v>2</v>
      </c>
      <c r="M32" s="37">
        <f t="shared" si="1"/>
        <v>4</v>
      </c>
      <c r="N32" s="37">
        <v>5</v>
      </c>
      <c r="O32" s="62" t="s">
        <v>279</v>
      </c>
      <c r="P32" s="38">
        <v>2.0714000000000001</v>
      </c>
      <c r="Q32" s="38">
        <f>P32*N32</f>
        <v>10.357000000000001</v>
      </c>
      <c r="R32" s="37"/>
      <c r="S32" s="59"/>
    </row>
    <row r="33" spans="1:19" s="61" customFormat="1" x14ac:dyDescent="0.25">
      <c r="A33" s="60"/>
      <c r="B33" s="47">
        <f t="shared" si="0"/>
        <v>24</v>
      </c>
      <c r="C33" s="53" t="s">
        <v>14</v>
      </c>
      <c r="D33" s="51" t="s">
        <v>42</v>
      </c>
      <c r="E33" s="51" t="s">
        <v>89</v>
      </c>
      <c r="F33" s="37" t="s">
        <v>274</v>
      </c>
      <c r="G33" s="75" t="s">
        <v>126</v>
      </c>
      <c r="H33" s="51" t="s">
        <v>189</v>
      </c>
      <c r="I33" s="51" t="s">
        <v>303</v>
      </c>
      <c r="J33" s="51" t="s">
        <v>303</v>
      </c>
      <c r="K33" s="51" t="s">
        <v>275</v>
      </c>
      <c r="L33" s="51">
        <v>1</v>
      </c>
      <c r="M33" s="37">
        <f t="shared" si="1"/>
        <v>2</v>
      </c>
      <c r="N33" s="51">
        <v>20</v>
      </c>
      <c r="O33" s="62" t="s">
        <v>279</v>
      </c>
      <c r="P33" s="52">
        <v>3.3799999999999997E-2</v>
      </c>
      <c r="Q33" s="52">
        <f t="shared" ref="Q33" si="13">P33*N33</f>
        <v>0.67599999999999993</v>
      </c>
      <c r="R33" s="51"/>
      <c r="S33" s="59"/>
    </row>
    <row r="34" spans="1:19" s="61" customFormat="1" x14ac:dyDescent="0.25">
      <c r="A34" s="60"/>
      <c r="B34" s="46">
        <f>ROW(B34) - ROW($B$9)</f>
        <v>25</v>
      </c>
      <c r="C34" s="53" t="s">
        <v>13</v>
      </c>
      <c r="D34" s="37" t="s">
        <v>43</v>
      </c>
      <c r="E34" s="37" t="s">
        <v>90</v>
      </c>
      <c r="F34" s="37" t="s">
        <v>127</v>
      </c>
      <c r="G34" s="37" t="s">
        <v>161</v>
      </c>
      <c r="H34" s="37" t="s">
        <v>182</v>
      </c>
      <c r="I34" s="37" t="s">
        <v>275</v>
      </c>
      <c r="J34" s="37" t="s">
        <v>215</v>
      </c>
      <c r="K34" s="37" t="s">
        <v>247</v>
      </c>
      <c r="L34" s="37">
        <v>1</v>
      </c>
      <c r="M34" s="37">
        <f t="shared" si="1"/>
        <v>2</v>
      </c>
      <c r="N34" s="37">
        <v>5</v>
      </c>
      <c r="O34" s="62" t="s">
        <v>279</v>
      </c>
      <c r="P34" s="38">
        <v>0.2137</v>
      </c>
      <c r="Q34" s="38">
        <f>P34*N34</f>
        <v>1.0685</v>
      </c>
      <c r="R34" s="37"/>
      <c r="S34" s="59"/>
    </row>
    <row r="35" spans="1:19" s="61" customFormat="1" ht="24" x14ac:dyDescent="0.25">
      <c r="A35" s="60"/>
      <c r="B35" s="47">
        <f t="shared" si="0"/>
        <v>26</v>
      </c>
      <c r="C35" s="54" t="s">
        <v>13</v>
      </c>
      <c r="D35" s="51" t="s">
        <v>44</v>
      </c>
      <c r="E35" s="51" t="s">
        <v>91</v>
      </c>
      <c r="F35" s="51" t="s">
        <v>274</v>
      </c>
      <c r="G35" s="51" t="s">
        <v>162</v>
      </c>
      <c r="H35" s="51" t="s">
        <v>191</v>
      </c>
      <c r="I35" s="51" t="s">
        <v>275</v>
      </c>
      <c r="J35" s="51" t="s">
        <v>216</v>
      </c>
      <c r="K35" s="51" t="s">
        <v>248</v>
      </c>
      <c r="L35" s="51">
        <v>1</v>
      </c>
      <c r="M35" s="37">
        <f t="shared" si="1"/>
        <v>2</v>
      </c>
      <c r="N35" s="51">
        <v>5</v>
      </c>
      <c r="O35" s="64" t="s">
        <v>279</v>
      </c>
      <c r="P35" s="52">
        <v>0.1734</v>
      </c>
      <c r="Q35" s="52">
        <f t="shared" ref="Q35" si="14">P35*N35</f>
        <v>0.86699999999999999</v>
      </c>
      <c r="R35" s="51"/>
      <c r="S35" s="59"/>
    </row>
    <row r="36" spans="1:19" s="61" customFormat="1" ht="24" x14ac:dyDescent="0.25">
      <c r="A36" s="60"/>
      <c r="B36" s="46">
        <f>ROW(B36) - ROW($B$9)</f>
        <v>27</v>
      </c>
      <c r="C36" s="53" t="s">
        <v>14</v>
      </c>
      <c r="D36" s="37" t="s">
        <v>45</v>
      </c>
      <c r="E36" s="37" t="s">
        <v>92</v>
      </c>
      <c r="F36" s="37" t="s">
        <v>128</v>
      </c>
      <c r="G36" s="37" t="s">
        <v>163</v>
      </c>
      <c r="H36" s="37" t="s">
        <v>192</v>
      </c>
      <c r="I36" s="37" t="s">
        <v>275</v>
      </c>
      <c r="J36" s="37" t="s">
        <v>217</v>
      </c>
      <c r="K36" s="37" t="s">
        <v>275</v>
      </c>
      <c r="L36" s="37">
        <v>1</v>
      </c>
      <c r="M36" s="37">
        <f t="shared" si="1"/>
        <v>2</v>
      </c>
      <c r="N36" s="37">
        <v>10</v>
      </c>
      <c r="O36" s="62" t="s">
        <v>279</v>
      </c>
      <c r="P36" s="38">
        <v>4.19E-2</v>
      </c>
      <c r="Q36" s="38">
        <f>P36*N36</f>
        <v>0.41899999999999998</v>
      </c>
      <c r="R36" s="37"/>
      <c r="S36" s="59"/>
    </row>
    <row r="37" spans="1:19" s="61" customFormat="1" x14ac:dyDescent="0.25">
      <c r="A37" s="60"/>
      <c r="B37" s="47">
        <f t="shared" si="0"/>
        <v>28</v>
      </c>
      <c r="C37" s="53" t="s">
        <v>14</v>
      </c>
      <c r="D37" s="51" t="s">
        <v>46</v>
      </c>
      <c r="E37" s="51" t="s">
        <v>93</v>
      </c>
      <c r="F37" s="51" t="s">
        <v>129</v>
      </c>
      <c r="G37" s="75">
        <v>8266292</v>
      </c>
      <c r="H37" s="51" t="s">
        <v>193</v>
      </c>
      <c r="I37" s="51" t="s">
        <v>275</v>
      </c>
      <c r="J37" s="51" t="s">
        <v>285</v>
      </c>
      <c r="K37" s="51" t="s">
        <v>275</v>
      </c>
      <c r="L37" s="51">
        <v>2</v>
      </c>
      <c r="M37" s="37">
        <f t="shared" si="1"/>
        <v>4</v>
      </c>
      <c r="N37" s="51">
        <v>20</v>
      </c>
      <c r="O37" s="80" t="s">
        <v>279</v>
      </c>
      <c r="P37" s="52">
        <v>2.46E-2</v>
      </c>
      <c r="Q37" s="52">
        <f t="shared" ref="Q37" si="15">P37*N37</f>
        <v>0.49199999999999999</v>
      </c>
      <c r="R37" s="51"/>
      <c r="S37" s="59"/>
    </row>
    <row r="38" spans="1:19" s="61" customFormat="1" x14ac:dyDescent="0.25">
      <c r="A38" s="60"/>
      <c r="B38" s="46">
        <f>ROW(B38) - ROW($B$9)</f>
        <v>29</v>
      </c>
      <c r="C38" s="53" t="s">
        <v>249</v>
      </c>
      <c r="D38" s="82" t="s">
        <v>273</v>
      </c>
      <c r="E38" s="82" t="s">
        <v>94</v>
      </c>
      <c r="F38" s="82" t="s">
        <v>274</v>
      </c>
      <c r="G38" s="82" t="s">
        <v>130</v>
      </c>
      <c r="H38" s="82" t="s">
        <v>275</v>
      </c>
      <c r="I38" s="82" t="s">
        <v>275</v>
      </c>
      <c r="J38" s="82" t="s">
        <v>275</v>
      </c>
      <c r="K38" s="82" t="s">
        <v>275</v>
      </c>
      <c r="L38" s="82">
        <v>10</v>
      </c>
      <c r="M38" s="82">
        <f t="shared" si="1"/>
        <v>20</v>
      </c>
      <c r="N38" s="82" t="s">
        <v>275</v>
      </c>
      <c r="O38" s="82" t="s">
        <v>275</v>
      </c>
      <c r="P38" s="83" t="s">
        <v>275</v>
      </c>
      <c r="Q38" s="83" t="s">
        <v>275</v>
      </c>
      <c r="R38" s="82"/>
      <c r="S38" s="59"/>
    </row>
    <row r="39" spans="1:19" s="61" customFormat="1" ht="24" x14ac:dyDescent="0.25">
      <c r="A39" s="60"/>
      <c r="B39" s="46">
        <f>ROW(B39) - ROW($B$9)</f>
        <v>30</v>
      </c>
      <c r="C39" s="53" t="s">
        <v>272</v>
      </c>
      <c r="D39" s="37" t="s">
        <v>47</v>
      </c>
      <c r="E39" s="37" t="s">
        <v>95</v>
      </c>
      <c r="F39" s="37" t="s">
        <v>276</v>
      </c>
      <c r="G39" s="37" t="s">
        <v>131</v>
      </c>
      <c r="H39" s="37" t="s">
        <v>194</v>
      </c>
      <c r="I39" s="37" t="s">
        <v>275</v>
      </c>
      <c r="J39" s="51" t="s">
        <v>281</v>
      </c>
      <c r="K39" s="37" t="s">
        <v>275</v>
      </c>
      <c r="L39" s="37">
        <v>1</v>
      </c>
      <c r="M39" s="37">
        <f t="shared" si="1"/>
        <v>2</v>
      </c>
      <c r="N39" s="37">
        <v>5</v>
      </c>
      <c r="O39" s="62" t="s">
        <v>279</v>
      </c>
      <c r="P39" s="38">
        <v>0.2094</v>
      </c>
      <c r="Q39" s="38">
        <f>P39*N39</f>
        <v>1.0469999999999999</v>
      </c>
      <c r="R39" s="37"/>
      <c r="S39" s="59"/>
    </row>
    <row r="40" spans="1:19" s="61" customFormat="1" x14ac:dyDescent="0.25">
      <c r="A40" s="60"/>
      <c r="B40" s="47">
        <f t="shared" si="0"/>
        <v>31</v>
      </c>
      <c r="C40" s="54" t="s">
        <v>15</v>
      </c>
      <c r="D40" s="51" t="s">
        <v>48</v>
      </c>
      <c r="E40" s="51" t="s">
        <v>96</v>
      </c>
      <c r="F40" s="51" t="s">
        <v>132</v>
      </c>
      <c r="G40" s="51" t="s">
        <v>164</v>
      </c>
      <c r="H40" s="51" t="s">
        <v>179</v>
      </c>
      <c r="I40" s="51" t="s">
        <v>275</v>
      </c>
      <c r="J40" s="51" t="s">
        <v>218</v>
      </c>
      <c r="K40" s="51" t="s">
        <v>250</v>
      </c>
      <c r="L40" s="51">
        <v>2</v>
      </c>
      <c r="M40" s="37">
        <f t="shared" si="1"/>
        <v>4</v>
      </c>
      <c r="N40" s="51">
        <v>100</v>
      </c>
      <c r="O40" s="64" t="s">
        <v>279</v>
      </c>
      <c r="P40" s="52">
        <v>8.9999999999999998E-4</v>
      </c>
      <c r="Q40" s="52">
        <f t="shared" ref="Q40" si="16">P40*N40</f>
        <v>0.09</v>
      </c>
      <c r="R40" s="51"/>
      <c r="S40" s="59"/>
    </row>
    <row r="41" spans="1:19" s="61" customFormat="1" x14ac:dyDescent="0.25">
      <c r="A41" s="60"/>
      <c r="B41" s="46">
        <f>ROW(B41) - ROW($B$9)</f>
        <v>32</v>
      </c>
      <c r="C41" s="53" t="s">
        <v>15</v>
      </c>
      <c r="D41" s="37" t="s">
        <v>49</v>
      </c>
      <c r="E41" s="37" t="s">
        <v>97</v>
      </c>
      <c r="F41" s="37" t="s">
        <v>133</v>
      </c>
      <c r="G41" s="37" t="s">
        <v>165</v>
      </c>
      <c r="H41" s="37" t="s">
        <v>179</v>
      </c>
      <c r="I41" s="37" t="s">
        <v>275</v>
      </c>
      <c r="J41" s="37" t="s">
        <v>219</v>
      </c>
      <c r="K41" s="37" t="s">
        <v>251</v>
      </c>
      <c r="L41" s="37">
        <v>1</v>
      </c>
      <c r="M41" s="37">
        <f t="shared" si="1"/>
        <v>2</v>
      </c>
      <c r="N41" s="37">
        <v>100</v>
      </c>
      <c r="O41" s="62" t="s">
        <v>279</v>
      </c>
      <c r="P41" s="38">
        <v>3.2000000000000002E-3</v>
      </c>
      <c r="Q41" s="38">
        <f>P41*N41</f>
        <v>0.32</v>
      </c>
      <c r="R41" s="37"/>
      <c r="S41" s="59"/>
    </row>
    <row r="42" spans="1:19" s="61" customFormat="1" ht="24" x14ac:dyDescent="0.25">
      <c r="A42" s="60"/>
      <c r="B42" s="47">
        <f t="shared" si="0"/>
        <v>33</v>
      </c>
      <c r="C42" s="54" t="s">
        <v>15</v>
      </c>
      <c r="D42" s="51" t="s">
        <v>50</v>
      </c>
      <c r="E42" s="51" t="s">
        <v>98</v>
      </c>
      <c r="F42" s="51" t="s">
        <v>134</v>
      </c>
      <c r="G42" s="51" t="s">
        <v>166</v>
      </c>
      <c r="H42" s="51" t="s">
        <v>195</v>
      </c>
      <c r="I42" s="51" t="s">
        <v>275</v>
      </c>
      <c r="J42" s="51" t="s">
        <v>220</v>
      </c>
      <c r="K42" s="51" t="s">
        <v>252</v>
      </c>
      <c r="L42" s="51">
        <v>2</v>
      </c>
      <c r="M42" s="37">
        <f t="shared" si="1"/>
        <v>4</v>
      </c>
      <c r="N42" s="51">
        <v>50</v>
      </c>
      <c r="O42" s="64" t="s">
        <v>279</v>
      </c>
      <c r="P42" s="52">
        <v>1.2999999999999999E-2</v>
      </c>
      <c r="Q42" s="52">
        <f t="shared" ref="Q42" si="17">P42*N42</f>
        <v>0.65</v>
      </c>
      <c r="R42" s="51"/>
      <c r="S42" s="59"/>
    </row>
    <row r="43" spans="1:19" s="61" customFormat="1" x14ac:dyDescent="0.25">
      <c r="A43" s="60"/>
      <c r="B43" s="46">
        <f>ROW(B43) - ROW($B$9)</f>
        <v>34</v>
      </c>
      <c r="C43" s="53" t="s">
        <v>15</v>
      </c>
      <c r="D43" s="37" t="s">
        <v>51</v>
      </c>
      <c r="E43" s="37" t="s">
        <v>99</v>
      </c>
      <c r="F43" s="37" t="s">
        <v>132</v>
      </c>
      <c r="G43" s="37" t="s">
        <v>167</v>
      </c>
      <c r="H43" s="37" t="s">
        <v>179</v>
      </c>
      <c r="I43" s="37" t="s">
        <v>275</v>
      </c>
      <c r="J43" s="37" t="s">
        <v>221</v>
      </c>
      <c r="K43" s="37" t="s">
        <v>253</v>
      </c>
      <c r="L43" s="37">
        <v>2</v>
      </c>
      <c r="M43" s="37">
        <f t="shared" si="1"/>
        <v>4</v>
      </c>
      <c r="N43" s="37">
        <v>100</v>
      </c>
      <c r="O43" s="62" t="s">
        <v>279</v>
      </c>
      <c r="P43" s="38">
        <v>6.9999999999999999E-4</v>
      </c>
      <c r="Q43" s="38">
        <f>P43*N43</f>
        <v>6.9999999999999993E-2</v>
      </c>
      <c r="R43" s="37"/>
      <c r="S43" s="59"/>
    </row>
    <row r="44" spans="1:19" s="61" customFormat="1" x14ac:dyDescent="0.25">
      <c r="A44" s="60"/>
      <c r="B44" s="47">
        <f t="shared" si="0"/>
        <v>35</v>
      </c>
      <c r="C44" s="54" t="s">
        <v>15</v>
      </c>
      <c r="D44" s="51" t="s">
        <v>52</v>
      </c>
      <c r="E44" s="51" t="s">
        <v>100</v>
      </c>
      <c r="F44" s="51" t="s">
        <v>133</v>
      </c>
      <c r="G44" s="51" t="s">
        <v>168</v>
      </c>
      <c r="H44" s="51" t="s">
        <v>179</v>
      </c>
      <c r="I44" s="51" t="s">
        <v>275</v>
      </c>
      <c r="J44" s="51" t="s">
        <v>222</v>
      </c>
      <c r="K44" s="51" t="s">
        <v>254</v>
      </c>
      <c r="L44" s="51">
        <v>1</v>
      </c>
      <c r="M44" s="37">
        <f t="shared" si="1"/>
        <v>2</v>
      </c>
      <c r="N44" s="51">
        <v>20</v>
      </c>
      <c r="O44" s="64" t="s">
        <v>279</v>
      </c>
      <c r="P44" s="52">
        <v>2.8400000000000002E-2</v>
      </c>
      <c r="Q44" s="52">
        <f t="shared" ref="Q44" si="18">P44*N44</f>
        <v>0.56800000000000006</v>
      </c>
      <c r="R44" s="51"/>
      <c r="S44" s="59"/>
    </row>
    <row r="45" spans="1:19" s="61" customFormat="1" ht="24" x14ac:dyDescent="0.25">
      <c r="A45" s="60"/>
      <c r="B45" s="46">
        <f>ROW(B45) - ROW($B$9)</f>
        <v>36</v>
      </c>
      <c r="C45" s="53" t="s">
        <v>16</v>
      </c>
      <c r="D45" s="76" t="s">
        <v>53</v>
      </c>
      <c r="E45" s="76" t="s">
        <v>101</v>
      </c>
      <c r="F45" s="76" t="s">
        <v>274</v>
      </c>
      <c r="G45" s="76" t="s">
        <v>135</v>
      </c>
      <c r="H45" s="76" t="s">
        <v>196</v>
      </c>
      <c r="I45" s="76" t="s">
        <v>275</v>
      </c>
      <c r="J45" s="76" t="s">
        <v>223</v>
      </c>
      <c r="K45" s="76" t="s">
        <v>255</v>
      </c>
      <c r="L45" s="76">
        <v>1</v>
      </c>
      <c r="M45" s="37">
        <f t="shared" si="1"/>
        <v>2</v>
      </c>
      <c r="N45" s="76" t="s">
        <v>275</v>
      </c>
      <c r="O45" s="77" t="s">
        <v>279</v>
      </c>
      <c r="P45" s="78" t="s">
        <v>275</v>
      </c>
      <c r="Q45" s="78" t="s">
        <v>275</v>
      </c>
      <c r="R45" s="37"/>
      <c r="S45" s="59"/>
    </row>
    <row r="46" spans="1:19" s="61" customFormat="1" ht="24" x14ac:dyDescent="0.25">
      <c r="A46" s="60"/>
      <c r="B46" s="47">
        <f t="shared" si="0"/>
        <v>37</v>
      </c>
      <c r="C46" s="54" t="s">
        <v>15</v>
      </c>
      <c r="D46" s="51" t="s">
        <v>54</v>
      </c>
      <c r="E46" s="51" t="s">
        <v>102</v>
      </c>
      <c r="F46" s="51" t="s">
        <v>132</v>
      </c>
      <c r="G46" s="51" t="s">
        <v>169</v>
      </c>
      <c r="H46" s="51" t="s">
        <v>197</v>
      </c>
      <c r="I46" s="51" t="s">
        <v>275</v>
      </c>
      <c r="J46" s="51" t="s">
        <v>224</v>
      </c>
      <c r="K46" s="51" t="s">
        <v>256</v>
      </c>
      <c r="L46" s="51">
        <v>1</v>
      </c>
      <c r="M46" s="37">
        <f t="shared" si="1"/>
        <v>2</v>
      </c>
      <c r="N46" s="51">
        <v>100</v>
      </c>
      <c r="O46" s="64" t="s">
        <v>279</v>
      </c>
      <c r="P46" s="52">
        <v>8.9999999999999998E-4</v>
      </c>
      <c r="Q46" s="52">
        <f t="shared" ref="Q46" si="19">P46*N46</f>
        <v>0.09</v>
      </c>
      <c r="R46" s="51"/>
      <c r="S46" s="59"/>
    </row>
    <row r="47" spans="1:19" s="61" customFormat="1" x14ac:dyDescent="0.25">
      <c r="A47" s="60"/>
      <c r="B47" s="46">
        <f>ROW(B47) - ROW($B$9)</f>
        <v>38</v>
      </c>
      <c r="C47" s="53" t="s">
        <v>15</v>
      </c>
      <c r="D47" s="37" t="s">
        <v>55</v>
      </c>
      <c r="E47" s="37" t="s">
        <v>103</v>
      </c>
      <c r="F47" s="37" t="s">
        <v>132</v>
      </c>
      <c r="G47" s="37" t="s">
        <v>170</v>
      </c>
      <c r="H47" s="37" t="s">
        <v>198</v>
      </c>
      <c r="I47" s="37" t="s">
        <v>275</v>
      </c>
      <c r="J47" s="37" t="s">
        <v>225</v>
      </c>
      <c r="K47" s="37" t="s">
        <v>257</v>
      </c>
      <c r="L47" s="37">
        <v>1</v>
      </c>
      <c r="M47" s="37">
        <f t="shared" si="1"/>
        <v>2</v>
      </c>
      <c r="N47" s="37">
        <v>100</v>
      </c>
      <c r="O47" s="62" t="s">
        <v>279</v>
      </c>
      <c r="P47" s="38">
        <v>1.5E-3</v>
      </c>
      <c r="Q47" s="38">
        <f>P47*N47</f>
        <v>0.15</v>
      </c>
      <c r="R47" s="37"/>
      <c r="S47" s="59"/>
    </row>
    <row r="48" spans="1:19" s="61" customFormat="1" x14ac:dyDescent="0.25">
      <c r="A48" s="60"/>
      <c r="B48" s="47">
        <f t="shared" si="0"/>
        <v>39</v>
      </c>
      <c r="C48" s="53" t="s">
        <v>15</v>
      </c>
      <c r="D48" s="51" t="s">
        <v>56</v>
      </c>
      <c r="E48" s="51" t="s">
        <v>104</v>
      </c>
      <c r="F48" s="51" t="s">
        <v>132</v>
      </c>
      <c r="G48" s="51" t="s">
        <v>171</v>
      </c>
      <c r="H48" s="51" t="s">
        <v>179</v>
      </c>
      <c r="I48" s="51" t="s">
        <v>275</v>
      </c>
      <c r="J48" s="51" t="s">
        <v>226</v>
      </c>
      <c r="K48" s="51" t="s">
        <v>250</v>
      </c>
      <c r="L48" s="51">
        <v>2</v>
      </c>
      <c r="M48" s="37">
        <f t="shared" si="1"/>
        <v>4</v>
      </c>
      <c r="N48" s="51">
        <v>100</v>
      </c>
      <c r="O48" s="64" t="s">
        <v>279</v>
      </c>
      <c r="P48" s="52">
        <v>8.0000000000000004E-4</v>
      </c>
      <c r="Q48" s="52">
        <f t="shared" ref="Q48" si="20">P48*N48</f>
        <v>0.08</v>
      </c>
      <c r="R48" s="51"/>
      <c r="S48" s="59"/>
    </row>
    <row r="49" spans="1:19" s="61" customFormat="1" ht="24" x14ac:dyDescent="0.25">
      <c r="A49" s="60"/>
      <c r="B49" s="46">
        <f>ROW(B49) - ROW($B$9)</f>
        <v>40</v>
      </c>
      <c r="C49" s="53" t="s">
        <v>15</v>
      </c>
      <c r="D49" s="37" t="s">
        <v>57</v>
      </c>
      <c r="E49" s="37" t="s">
        <v>105</v>
      </c>
      <c r="F49" s="37" t="s">
        <v>132</v>
      </c>
      <c r="G49" s="37" t="s">
        <v>172</v>
      </c>
      <c r="H49" s="37" t="s">
        <v>197</v>
      </c>
      <c r="I49" s="37" t="s">
        <v>275</v>
      </c>
      <c r="J49" s="37" t="s">
        <v>227</v>
      </c>
      <c r="K49" s="37" t="s">
        <v>258</v>
      </c>
      <c r="L49" s="37">
        <v>1</v>
      </c>
      <c r="M49" s="37">
        <f t="shared" si="1"/>
        <v>2</v>
      </c>
      <c r="N49" s="37">
        <v>100</v>
      </c>
      <c r="O49" s="62" t="s">
        <v>279</v>
      </c>
      <c r="P49" s="38">
        <v>5.0000000000000001E-4</v>
      </c>
      <c r="Q49" s="38">
        <f>P49*N49</f>
        <v>0.05</v>
      </c>
      <c r="R49" s="37"/>
      <c r="S49" s="59"/>
    </row>
    <row r="50" spans="1:19" s="61" customFormat="1" x14ac:dyDescent="0.25">
      <c r="A50" s="60"/>
      <c r="B50" s="47">
        <f t="shared" si="0"/>
        <v>41</v>
      </c>
      <c r="C50" s="54" t="s">
        <v>15</v>
      </c>
      <c r="D50" s="51" t="s">
        <v>58</v>
      </c>
      <c r="E50" s="51" t="s">
        <v>106</v>
      </c>
      <c r="F50" s="51" t="s">
        <v>132</v>
      </c>
      <c r="G50" s="51" t="s">
        <v>173</v>
      </c>
      <c r="H50" s="51" t="s">
        <v>179</v>
      </c>
      <c r="I50" s="51" t="s">
        <v>275</v>
      </c>
      <c r="J50" s="51" t="s">
        <v>228</v>
      </c>
      <c r="K50" s="51" t="s">
        <v>259</v>
      </c>
      <c r="L50" s="51">
        <v>8</v>
      </c>
      <c r="M50" s="37">
        <f t="shared" si="1"/>
        <v>16</v>
      </c>
      <c r="N50" s="51">
        <v>100</v>
      </c>
      <c r="O50" s="64" t="s">
        <v>279</v>
      </c>
      <c r="P50" s="52">
        <v>1E-3</v>
      </c>
      <c r="Q50" s="52">
        <f t="shared" ref="Q50" si="21">P50*N50</f>
        <v>0.1</v>
      </c>
      <c r="R50" s="51"/>
      <c r="S50" s="59"/>
    </row>
    <row r="51" spans="1:19" s="61" customFormat="1" x14ac:dyDescent="0.25">
      <c r="A51" s="60"/>
      <c r="B51" s="46">
        <f>ROW(B51) - ROW($B$9)</f>
        <v>42</v>
      </c>
      <c r="C51" s="53" t="s">
        <v>15</v>
      </c>
      <c r="D51" s="37" t="s">
        <v>59</v>
      </c>
      <c r="E51" s="37" t="s">
        <v>107</v>
      </c>
      <c r="F51" s="37" t="s">
        <v>132</v>
      </c>
      <c r="G51" s="37" t="s">
        <v>174</v>
      </c>
      <c r="H51" s="37" t="s">
        <v>179</v>
      </c>
      <c r="I51" s="37" t="s">
        <v>275</v>
      </c>
      <c r="J51" s="37" t="s">
        <v>229</v>
      </c>
      <c r="K51" s="37" t="s">
        <v>260</v>
      </c>
      <c r="L51" s="37">
        <v>2</v>
      </c>
      <c r="M51" s="37">
        <f t="shared" si="1"/>
        <v>4</v>
      </c>
      <c r="N51" s="37">
        <v>100</v>
      </c>
      <c r="O51" s="62" t="s">
        <v>279</v>
      </c>
      <c r="P51" s="38">
        <v>5.4999999999999997E-3</v>
      </c>
      <c r="Q51" s="38">
        <f>P51*N51</f>
        <v>0.54999999999999993</v>
      </c>
      <c r="R51" s="37"/>
      <c r="S51" s="59"/>
    </row>
    <row r="52" spans="1:19" s="61" customFormat="1" x14ac:dyDescent="0.25">
      <c r="A52" s="60"/>
      <c r="B52" s="47">
        <f t="shared" si="0"/>
        <v>43</v>
      </c>
      <c r="C52" s="54" t="s">
        <v>136</v>
      </c>
      <c r="D52" s="51" t="s">
        <v>60</v>
      </c>
      <c r="E52" s="51" t="s">
        <v>108</v>
      </c>
      <c r="F52" s="51" t="s">
        <v>274</v>
      </c>
      <c r="G52" s="51" t="s">
        <v>136</v>
      </c>
      <c r="H52" s="37" t="s">
        <v>275</v>
      </c>
      <c r="I52" s="37" t="s">
        <v>275</v>
      </c>
      <c r="J52" s="37" t="s">
        <v>275</v>
      </c>
      <c r="K52" s="37" t="s">
        <v>275</v>
      </c>
      <c r="L52" s="51">
        <v>2</v>
      </c>
      <c r="M52" s="37">
        <f t="shared" si="1"/>
        <v>4</v>
      </c>
      <c r="N52" s="51" t="s">
        <v>275</v>
      </c>
      <c r="O52" s="51" t="s">
        <v>275</v>
      </c>
      <c r="P52" s="52" t="s">
        <v>275</v>
      </c>
      <c r="Q52" s="52" t="s">
        <v>275</v>
      </c>
      <c r="R52" s="51"/>
      <c r="S52" s="59"/>
    </row>
    <row r="53" spans="1:19" s="61" customFormat="1" ht="24" x14ac:dyDescent="0.25">
      <c r="A53" s="60"/>
      <c r="B53" s="46">
        <f>ROW(B53) - ROW($B$9)</f>
        <v>44</v>
      </c>
      <c r="C53" s="53" t="s">
        <v>17</v>
      </c>
      <c r="D53" s="37" t="s">
        <v>61</v>
      </c>
      <c r="E53" s="37" t="s">
        <v>109</v>
      </c>
      <c r="F53" s="37" t="s">
        <v>137</v>
      </c>
      <c r="G53" s="37" t="s">
        <v>175</v>
      </c>
      <c r="H53" s="37" t="s">
        <v>199</v>
      </c>
      <c r="I53" s="37" t="s">
        <v>275</v>
      </c>
      <c r="J53" s="37" t="s">
        <v>230</v>
      </c>
      <c r="K53" s="37" t="s">
        <v>275</v>
      </c>
      <c r="L53" s="37">
        <v>1</v>
      </c>
      <c r="M53" s="37">
        <f t="shared" si="1"/>
        <v>2</v>
      </c>
      <c r="N53" s="37">
        <v>5</v>
      </c>
      <c r="O53" s="62" t="s">
        <v>279</v>
      </c>
      <c r="P53" s="38">
        <v>0.16550000000000001</v>
      </c>
      <c r="Q53" s="38">
        <f>P53*N53</f>
        <v>0.82750000000000001</v>
      </c>
      <c r="R53" s="37"/>
      <c r="S53" s="59"/>
    </row>
    <row r="54" spans="1:19" s="61" customFormat="1" x14ac:dyDescent="0.25">
      <c r="A54" s="60"/>
      <c r="B54" s="47">
        <f t="shared" si="0"/>
        <v>45</v>
      </c>
      <c r="C54" s="54" t="s">
        <v>17</v>
      </c>
      <c r="D54" s="51" t="s">
        <v>62</v>
      </c>
      <c r="E54" s="51" t="s">
        <v>110</v>
      </c>
      <c r="F54" s="51" t="s">
        <v>138</v>
      </c>
      <c r="G54" s="51" t="s">
        <v>176</v>
      </c>
      <c r="H54" s="51" t="s">
        <v>200</v>
      </c>
      <c r="I54" s="51" t="s">
        <v>275</v>
      </c>
      <c r="J54" s="51" t="s">
        <v>231</v>
      </c>
      <c r="K54" s="37" t="s">
        <v>275</v>
      </c>
      <c r="L54" s="51">
        <v>1</v>
      </c>
      <c r="M54" s="37">
        <f t="shared" si="1"/>
        <v>2</v>
      </c>
      <c r="N54" s="51">
        <v>3</v>
      </c>
      <c r="O54" s="64" t="s">
        <v>279</v>
      </c>
      <c r="P54" s="52">
        <v>0.63959999999999995</v>
      </c>
      <c r="Q54" s="52">
        <f t="shared" ref="Q54" si="22">P54*N54</f>
        <v>1.9187999999999998</v>
      </c>
      <c r="R54" s="51"/>
      <c r="S54" s="59"/>
    </row>
    <row r="55" spans="1:19" s="61" customFormat="1" x14ac:dyDescent="0.25">
      <c r="A55" s="60"/>
      <c r="B55" s="46">
        <f>ROW(B55) - ROW($B$9)</f>
        <v>46</v>
      </c>
      <c r="C55" s="54" t="s">
        <v>17</v>
      </c>
      <c r="D55" s="37" t="s">
        <v>63</v>
      </c>
      <c r="E55" s="37" t="s">
        <v>111</v>
      </c>
      <c r="F55" s="37" t="s">
        <v>139</v>
      </c>
      <c r="G55" s="37" t="s">
        <v>139</v>
      </c>
      <c r="H55" s="37" t="s">
        <v>201</v>
      </c>
      <c r="I55" s="37" t="s">
        <v>275</v>
      </c>
      <c r="J55" s="37" t="s">
        <v>280</v>
      </c>
      <c r="K55" s="37" t="s">
        <v>275</v>
      </c>
      <c r="L55" s="37">
        <v>1</v>
      </c>
      <c r="M55" s="37">
        <f t="shared" si="1"/>
        <v>2</v>
      </c>
      <c r="N55" s="37">
        <v>3</v>
      </c>
      <c r="O55" s="64" t="s">
        <v>279</v>
      </c>
      <c r="P55" s="38">
        <v>3.7195999999999998</v>
      </c>
      <c r="Q55" s="38">
        <f>P55*N55</f>
        <v>11.158799999999999</v>
      </c>
      <c r="R55" s="37"/>
      <c r="S55" s="59"/>
    </row>
    <row r="56" spans="1:19" s="61" customFormat="1" ht="15.75" thickBot="1" x14ac:dyDescent="0.3">
      <c r="A56" s="60"/>
      <c r="B56" s="47">
        <f t="shared" si="0"/>
        <v>47</v>
      </c>
      <c r="C56" s="54" t="s">
        <v>17</v>
      </c>
      <c r="D56" s="51" t="s">
        <v>64</v>
      </c>
      <c r="E56" s="51" t="s">
        <v>112</v>
      </c>
      <c r="F56" s="51" t="s">
        <v>140</v>
      </c>
      <c r="G56" s="51" t="s">
        <v>177</v>
      </c>
      <c r="H56" s="51" t="s">
        <v>202</v>
      </c>
      <c r="I56" s="51" t="s">
        <v>275</v>
      </c>
      <c r="J56" s="51" t="s">
        <v>232</v>
      </c>
      <c r="K56" s="37" t="s">
        <v>275</v>
      </c>
      <c r="L56" s="51">
        <v>1</v>
      </c>
      <c r="M56" s="37">
        <f t="shared" si="1"/>
        <v>2</v>
      </c>
      <c r="N56" s="51">
        <v>3</v>
      </c>
      <c r="O56" s="64" t="s">
        <v>279</v>
      </c>
      <c r="P56" s="52">
        <v>0.33100000000000002</v>
      </c>
      <c r="Q56" s="52">
        <f t="shared" ref="Q56" si="23">P56*N56</f>
        <v>0.9930000000000001</v>
      </c>
      <c r="R56" s="51"/>
      <c r="S56" s="39"/>
    </row>
    <row r="57" spans="1:19" ht="19.5" thickBot="1" x14ac:dyDescent="0.3">
      <c r="A57" s="1"/>
      <c r="B57" s="40"/>
      <c r="C57" s="41"/>
      <c r="D57" s="42"/>
      <c r="E57" s="43"/>
      <c r="F57" s="44"/>
      <c r="G57" s="45"/>
      <c r="H57" s="44"/>
      <c r="I57" s="45"/>
      <c r="J57" s="44"/>
      <c r="K57" s="45"/>
      <c r="L57" s="45"/>
      <c r="M57" s="45"/>
      <c r="N57" s="73" t="s">
        <v>5</v>
      </c>
      <c r="O57" s="74"/>
      <c r="P57" s="74"/>
      <c r="Q57" s="48">
        <f>SUM(Q10:Q56)</f>
        <v>48.809599999999996</v>
      </c>
      <c r="R57" s="69"/>
      <c r="S57" s="70"/>
    </row>
    <row r="58" spans="1:19" ht="19.5" thickBot="1" x14ac:dyDescent="0.3">
      <c r="A58" s="1"/>
      <c r="B58" s="25"/>
      <c r="C58" s="36"/>
      <c r="D58" s="9"/>
      <c r="E58" s="10"/>
      <c r="F58" s="10"/>
      <c r="G58" s="10"/>
      <c r="H58" s="10"/>
      <c r="I58" s="10"/>
      <c r="J58" s="10"/>
      <c r="K58" s="10"/>
      <c r="L58" s="10"/>
      <c r="M58" s="10"/>
      <c r="N58" s="73" t="s">
        <v>6</v>
      </c>
      <c r="O58" s="74"/>
      <c r="P58" s="74"/>
      <c r="Q58" s="49">
        <f>Q57/2</f>
        <v>24.404799999999998</v>
      </c>
      <c r="R58" s="71"/>
      <c r="S58" s="72"/>
    </row>
  </sheetData>
  <mergeCells count="5">
    <mergeCell ref="K1:S1"/>
    <mergeCell ref="S3:S8"/>
    <mergeCell ref="N57:P57"/>
    <mergeCell ref="R57:S58"/>
    <mergeCell ref="N58:P58"/>
  </mergeCells>
  <conditionalFormatting sqref="O3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{71FC9FFC-80E7-41EC-AE65-98CD434A5664}</x14:id>
        </ext>
      </extLst>
    </cfRule>
  </conditionalFormatting>
  <hyperlinks>
    <hyperlink ref="O32" r:id="rId1"/>
    <hyperlink ref="O55" r:id="rId2"/>
    <hyperlink ref="O39" r:id="rId3"/>
    <hyperlink ref="O10" r:id="rId4"/>
    <hyperlink ref="O11" r:id="rId5"/>
    <hyperlink ref="O12" r:id="rId6"/>
    <hyperlink ref="O13" r:id="rId7"/>
    <hyperlink ref="O14" r:id="rId8"/>
    <hyperlink ref="O16" r:id="rId9"/>
    <hyperlink ref="O19" r:id="rId10"/>
    <hyperlink ref="O20" r:id="rId11"/>
    <hyperlink ref="O21" r:id="rId12"/>
    <hyperlink ref="O22" r:id="rId13"/>
    <hyperlink ref="O23" r:id="rId14"/>
    <hyperlink ref="O27" r:id="rId15"/>
    <hyperlink ref="O30" r:id="rId16"/>
    <hyperlink ref="O29" r:id="rId17"/>
    <hyperlink ref="O34" r:id="rId18"/>
    <hyperlink ref="O35" r:id="rId19"/>
    <hyperlink ref="O36" r:id="rId20"/>
    <hyperlink ref="O37" r:id="rId21"/>
    <hyperlink ref="O40" r:id="rId22"/>
    <hyperlink ref="O41" r:id="rId23"/>
    <hyperlink ref="O42" r:id="rId24"/>
    <hyperlink ref="O43" r:id="rId25"/>
    <hyperlink ref="O44" r:id="rId26"/>
    <hyperlink ref="O45" r:id="rId27"/>
    <hyperlink ref="O46" r:id="rId28"/>
    <hyperlink ref="O47" r:id="rId29"/>
    <hyperlink ref="O48" r:id="rId30"/>
    <hyperlink ref="O49" r:id="rId31"/>
    <hyperlink ref="O50" r:id="rId32"/>
    <hyperlink ref="O51" r:id="rId33"/>
    <hyperlink ref="O53" r:id="rId34"/>
    <hyperlink ref="O54" r:id="rId35"/>
    <hyperlink ref="O56" r:id="rId36"/>
    <hyperlink ref="O15" r:id="rId37"/>
    <hyperlink ref="O17" r:id="rId38"/>
    <hyperlink ref="O18" r:id="rId39"/>
    <hyperlink ref="O24" r:id="rId40"/>
    <hyperlink ref="O25" r:id="rId41"/>
    <hyperlink ref="O26" r:id="rId42"/>
    <hyperlink ref="O28" r:id="rId43"/>
    <hyperlink ref="O33" r:id="rId44"/>
    <hyperlink ref="O31" r:id="rId45"/>
  </hyperlinks>
  <pageMargins left="0.7" right="0.7" top="0.75" bottom="0.75" header="0.3" footer="0.3"/>
  <drawing r:id="rId46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1FC9FFC-80E7-41EC-AE65-98CD434A56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58"/>
  <sheetViews>
    <sheetView topLeftCell="G22" workbookViewId="0">
      <selection activeCell="D38" sqref="D38:R38"/>
    </sheetView>
  </sheetViews>
  <sheetFormatPr defaultRowHeight="15" x14ac:dyDescent="0.25"/>
  <cols>
    <col min="2" max="2" width="3.140625" style="26" customWidth="1"/>
    <col min="3" max="3" width="18" style="26" bestFit="1" customWidth="1"/>
    <col min="4" max="4" width="31.140625" bestFit="1" customWidth="1"/>
    <col min="5" max="5" width="30.85546875" customWidth="1"/>
    <col min="6" max="6" width="22.28515625" bestFit="1" customWidth="1"/>
    <col min="7" max="7" width="33.42578125" bestFit="1" customWidth="1"/>
    <col min="8" max="8" width="21.42578125" bestFit="1" customWidth="1"/>
    <col min="9" max="9" width="29.7109375" bestFit="1" customWidth="1"/>
    <col min="10" max="10" width="25.7109375" bestFit="1" customWidth="1"/>
    <col min="11" max="11" width="6.140625" bestFit="1" customWidth="1"/>
    <col min="12" max="12" width="8.7109375" bestFit="1" customWidth="1"/>
    <col min="13" max="13" width="18.28515625" bestFit="1" customWidth="1"/>
    <col min="14" max="14" width="15.140625" bestFit="1" customWidth="1"/>
    <col min="15" max="15" width="9.140625" bestFit="1" customWidth="1"/>
    <col min="16" max="16" width="18.7109375" bestFit="1" customWidth="1"/>
    <col min="17" max="17" width="19.28515625" bestFit="1" customWidth="1"/>
    <col min="18" max="18" width="16.5703125" bestFit="1" customWidth="1"/>
    <col min="19" max="19" width="26.85546875" bestFit="1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65"/>
      <c r="L1" s="65"/>
      <c r="M1" s="65"/>
      <c r="N1" s="65"/>
      <c r="O1" s="65"/>
      <c r="P1" s="65"/>
      <c r="Q1" s="65"/>
      <c r="R1" s="65"/>
      <c r="S1" s="66"/>
    </row>
    <row r="2" spans="1:19" ht="32.25" thickBot="1" x14ac:dyDescent="0.3">
      <c r="A2" s="1"/>
      <c r="B2" s="21"/>
      <c r="C2" s="31"/>
      <c r="D2" s="11" t="s">
        <v>0</v>
      </c>
      <c r="E2" s="11"/>
      <c r="F2" s="55" t="s">
        <v>7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2"/>
      <c r="D3" s="13" t="s">
        <v>1</v>
      </c>
      <c r="E3" s="13"/>
      <c r="F3" s="56" t="s">
        <v>8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67"/>
    </row>
    <row r="4" spans="1:19" x14ac:dyDescent="0.25">
      <c r="A4" s="1"/>
      <c r="B4" s="22"/>
      <c r="C4" s="32"/>
      <c r="D4" s="13" t="s">
        <v>2</v>
      </c>
      <c r="E4" s="13"/>
      <c r="F4" s="57" t="s">
        <v>8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68"/>
    </row>
    <row r="5" spans="1:19" x14ac:dyDescent="0.25">
      <c r="A5" s="1"/>
      <c r="B5" s="22"/>
      <c r="C5" s="32"/>
      <c r="D5" s="13" t="s">
        <v>3</v>
      </c>
      <c r="E5" s="13"/>
      <c r="F5" s="58" t="s">
        <v>9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68"/>
    </row>
    <row r="6" spans="1:19" x14ac:dyDescent="0.25">
      <c r="A6" s="1"/>
      <c r="B6" s="23"/>
      <c r="C6" s="33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68"/>
    </row>
    <row r="7" spans="1:19" x14ac:dyDescent="0.25">
      <c r="A7" s="1"/>
      <c r="B7" s="24"/>
      <c r="C7" s="34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68"/>
    </row>
    <row r="8" spans="1:19" ht="15.75" thickBot="1" x14ac:dyDescent="0.3">
      <c r="A8" s="1"/>
      <c r="B8" s="27"/>
      <c r="C8" s="35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68"/>
    </row>
    <row r="9" spans="1:19" ht="15.75" thickBot="1" x14ac:dyDescent="0.3">
      <c r="A9" s="1"/>
      <c r="B9" s="30" t="s">
        <v>4</v>
      </c>
      <c r="C9" s="30" t="s">
        <v>10</v>
      </c>
      <c r="D9" s="30" t="s">
        <v>18</v>
      </c>
      <c r="E9" s="30" t="s">
        <v>65</v>
      </c>
      <c r="F9" s="30" t="s">
        <v>113</v>
      </c>
      <c r="G9" s="30" t="s">
        <v>141</v>
      </c>
      <c r="H9" s="30" t="s">
        <v>178</v>
      </c>
      <c r="I9" s="30" t="s">
        <v>262</v>
      </c>
      <c r="J9" s="30" t="s">
        <v>203</v>
      </c>
      <c r="K9" s="30" t="s">
        <v>263</v>
      </c>
      <c r="L9" s="30" t="s">
        <v>261</v>
      </c>
      <c r="M9" s="30" t="s">
        <v>264</v>
      </c>
      <c r="N9" s="30" t="s">
        <v>265</v>
      </c>
      <c r="O9" s="30" t="s">
        <v>266</v>
      </c>
      <c r="P9" s="30" t="s">
        <v>267</v>
      </c>
      <c r="Q9" s="30" t="s">
        <v>268</v>
      </c>
      <c r="R9" s="30" t="s">
        <v>269</v>
      </c>
      <c r="S9" s="30" t="s">
        <v>270</v>
      </c>
    </row>
    <row r="10" spans="1:19" x14ac:dyDescent="0.25">
      <c r="A10" s="1"/>
      <c r="B10" s="46">
        <f>ROW(B10) - ROW($B$9)</f>
        <v>1</v>
      </c>
      <c r="C10" s="54" t="s">
        <v>11</v>
      </c>
      <c r="D10" s="37" t="s">
        <v>19</v>
      </c>
      <c r="E10" s="37" t="s">
        <v>66</v>
      </c>
      <c r="F10" s="37" t="s">
        <v>114</v>
      </c>
      <c r="G10" s="37" t="s">
        <v>142</v>
      </c>
      <c r="H10" s="37" t="s">
        <v>179</v>
      </c>
      <c r="I10" s="37" t="s">
        <v>275</v>
      </c>
      <c r="J10" s="37" t="s">
        <v>204</v>
      </c>
      <c r="K10" s="37" t="s">
        <v>233</v>
      </c>
      <c r="L10" s="37">
        <v>1</v>
      </c>
      <c r="M10" s="37">
        <f>L10*5</f>
        <v>5</v>
      </c>
      <c r="N10" s="37">
        <v>50</v>
      </c>
      <c r="O10" s="62" t="s">
        <v>279</v>
      </c>
      <c r="P10" s="38">
        <v>1.4200000000000001E-2</v>
      </c>
      <c r="Q10" s="38">
        <f>P10*N10</f>
        <v>0.71000000000000008</v>
      </c>
      <c r="R10" s="37"/>
      <c r="S10" s="50"/>
    </row>
    <row r="11" spans="1:19" x14ac:dyDescent="0.25">
      <c r="A11" s="1"/>
      <c r="B11" s="47">
        <f t="shared" ref="B11:B56" si="0">ROW(B11) - ROW($B$9)</f>
        <v>2</v>
      </c>
      <c r="C11" s="54" t="s">
        <v>11</v>
      </c>
      <c r="D11" s="51" t="s">
        <v>20</v>
      </c>
      <c r="E11" s="51" t="s">
        <v>67</v>
      </c>
      <c r="F11" s="51" t="s">
        <v>114</v>
      </c>
      <c r="G11" s="51" t="s">
        <v>143</v>
      </c>
      <c r="H11" s="51" t="s">
        <v>179</v>
      </c>
      <c r="I11" s="51" t="s">
        <v>275</v>
      </c>
      <c r="J11" s="51" t="s">
        <v>205</v>
      </c>
      <c r="K11" s="51" t="s">
        <v>234</v>
      </c>
      <c r="L11" s="51">
        <v>1</v>
      </c>
      <c r="M11" s="51">
        <f t="shared" ref="M11" si="1">L11*5</f>
        <v>5</v>
      </c>
      <c r="N11" s="51">
        <v>50</v>
      </c>
      <c r="O11" s="64" t="s">
        <v>279</v>
      </c>
      <c r="P11" s="52">
        <v>1.77E-2</v>
      </c>
      <c r="Q11" s="52">
        <f t="shared" ref="Q11" si="2">P11*N11</f>
        <v>0.88500000000000001</v>
      </c>
      <c r="R11" s="51"/>
      <c r="S11" s="51"/>
    </row>
    <row r="12" spans="1:19" x14ac:dyDescent="0.25">
      <c r="A12" s="1"/>
      <c r="B12" s="46">
        <f>ROW(B12) - ROW($B$9)</f>
        <v>3</v>
      </c>
      <c r="C12" s="54" t="s">
        <v>11</v>
      </c>
      <c r="D12" s="37" t="s">
        <v>21</v>
      </c>
      <c r="E12" s="37" t="s">
        <v>68</v>
      </c>
      <c r="F12" s="37" t="s">
        <v>114</v>
      </c>
      <c r="G12" s="37" t="s">
        <v>144</v>
      </c>
      <c r="H12" s="37" t="s">
        <v>179</v>
      </c>
      <c r="I12" s="37" t="s">
        <v>275</v>
      </c>
      <c r="J12" s="37" t="s">
        <v>206</v>
      </c>
      <c r="K12" s="37" t="s">
        <v>235</v>
      </c>
      <c r="L12" s="37">
        <v>7</v>
      </c>
      <c r="M12" s="37">
        <f>L12*5</f>
        <v>35</v>
      </c>
      <c r="N12" s="37">
        <v>100</v>
      </c>
      <c r="O12" s="62" t="s">
        <v>279</v>
      </c>
      <c r="P12" s="38">
        <v>1.9E-3</v>
      </c>
      <c r="Q12" s="38">
        <f>P12*N12</f>
        <v>0.19</v>
      </c>
      <c r="R12" s="37"/>
      <c r="S12" s="59"/>
    </row>
    <row r="13" spans="1:19" x14ac:dyDescent="0.25">
      <c r="A13" s="1"/>
      <c r="B13" s="47">
        <f t="shared" si="0"/>
        <v>4</v>
      </c>
      <c r="C13" s="54" t="s">
        <v>11</v>
      </c>
      <c r="D13" s="51" t="s">
        <v>22</v>
      </c>
      <c r="E13" s="51" t="s">
        <v>69</v>
      </c>
      <c r="F13" s="51" t="s">
        <v>115</v>
      </c>
      <c r="G13" s="51" t="s">
        <v>145</v>
      </c>
      <c r="H13" s="51" t="s">
        <v>179</v>
      </c>
      <c r="I13" s="51"/>
      <c r="J13" s="51" t="s">
        <v>284</v>
      </c>
      <c r="K13" s="51" t="s">
        <v>235</v>
      </c>
      <c r="L13" s="51">
        <v>3</v>
      </c>
      <c r="M13" s="51">
        <f t="shared" ref="M13" si="3">L13*5</f>
        <v>15</v>
      </c>
      <c r="N13" s="51">
        <v>100</v>
      </c>
      <c r="O13" s="64" t="s">
        <v>279</v>
      </c>
      <c r="P13" s="52">
        <v>5.4999999999999997E-3</v>
      </c>
      <c r="Q13" s="52">
        <f t="shared" ref="Q13" si="4">P13*N13</f>
        <v>0.54999999999999993</v>
      </c>
      <c r="R13" s="51"/>
      <c r="S13" s="59"/>
    </row>
    <row r="14" spans="1:19" ht="36" x14ac:dyDescent="0.25">
      <c r="A14" s="1"/>
      <c r="B14" s="46">
        <f>ROW(B14) - ROW($B$9)</f>
        <v>5</v>
      </c>
      <c r="C14" s="53" t="s">
        <v>11</v>
      </c>
      <c r="D14" s="37" t="s">
        <v>23</v>
      </c>
      <c r="E14" s="37" t="s">
        <v>70</v>
      </c>
      <c r="F14" s="37" t="s">
        <v>274</v>
      </c>
      <c r="G14" s="37" t="s">
        <v>116</v>
      </c>
      <c r="H14" s="37" t="s">
        <v>180</v>
      </c>
      <c r="I14" s="37" t="s">
        <v>275</v>
      </c>
      <c r="J14" s="37" t="s">
        <v>207</v>
      </c>
      <c r="K14" s="37" t="s">
        <v>236</v>
      </c>
      <c r="L14" s="37">
        <v>2</v>
      </c>
      <c r="M14" s="37">
        <f>L14*5</f>
        <v>10</v>
      </c>
      <c r="N14" s="37">
        <v>20</v>
      </c>
      <c r="O14" s="62" t="s">
        <v>279</v>
      </c>
      <c r="P14" s="38">
        <v>6.9099999999999995E-2</v>
      </c>
      <c r="Q14" s="38">
        <f>P14*N14</f>
        <v>1.3819999999999999</v>
      </c>
      <c r="R14" s="37"/>
      <c r="S14" s="59"/>
    </row>
    <row r="15" spans="1:19" x14ac:dyDescent="0.25">
      <c r="A15" s="1"/>
      <c r="B15" s="47">
        <f t="shared" si="0"/>
        <v>6</v>
      </c>
      <c r="C15" s="53" t="s">
        <v>11</v>
      </c>
      <c r="D15" s="51" t="s">
        <v>24</v>
      </c>
      <c r="E15" s="51" t="s">
        <v>71</v>
      </c>
      <c r="F15" s="51" t="s">
        <v>115</v>
      </c>
      <c r="G15" s="75" t="s">
        <v>146</v>
      </c>
      <c r="H15" s="51" t="s">
        <v>181</v>
      </c>
      <c r="I15" s="51" t="s">
        <v>286</v>
      </c>
      <c r="J15" s="51" t="s">
        <v>287</v>
      </c>
      <c r="K15" s="51" t="s">
        <v>237</v>
      </c>
      <c r="L15" s="51">
        <v>1</v>
      </c>
      <c r="M15" s="51">
        <f t="shared" ref="M15" si="5">L15*5</f>
        <v>5</v>
      </c>
      <c r="N15" s="51">
        <v>50</v>
      </c>
      <c r="O15" s="64" t="s">
        <v>279</v>
      </c>
      <c r="P15" s="52">
        <v>9.1000000000000004E-3</v>
      </c>
      <c r="Q15" s="52">
        <f t="shared" ref="Q15" si="6">P15*N15</f>
        <v>0.45500000000000002</v>
      </c>
      <c r="R15" s="51"/>
      <c r="S15" s="59"/>
    </row>
    <row r="16" spans="1:19" x14ac:dyDescent="0.25">
      <c r="A16" s="1"/>
      <c r="B16" s="46">
        <f>ROW(B16) - ROW($B$9)</f>
        <v>7</v>
      </c>
      <c r="C16" s="53" t="s">
        <v>11</v>
      </c>
      <c r="D16" s="37" t="s">
        <v>25</v>
      </c>
      <c r="E16" s="37" t="s">
        <v>72</v>
      </c>
      <c r="F16" s="37" t="s">
        <v>117</v>
      </c>
      <c r="G16" s="37" t="s">
        <v>147</v>
      </c>
      <c r="H16" s="37" t="s">
        <v>179</v>
      </c>
      <c r="I16" s="37" t="s">
        <v>275</v>
      </c>
      <c r="J16" s="37" t="s">
        <v>208</v>
      </c>
      <c r="K16" s="37" t="s">
        <v>238</v>
      </c>
      <c r="L16" s="37">
        <v>2</v>
      </c>
      <c r="M16" s="37">
        <f>L16*5</f>
        <v>10</v>
      </c>
      <c r="N16" s="37">
        <v>100</v>
      </c>
      <c r="O16" s="62" t="s">
        <v>279</v>
      </c>
      <c r="P16" s="38">
        <v>1.1000000000000001E-3</v>
      </c>
      <c r="Q16" s="38">
        <f>P16*N16</f>
        <v>0.11</v>
      </c>
      <c r="R16" s="37"/>
      <c r="S16" s="59"/>
    </row>
    <row r="17" spans="1:19" x14ac:dyDescent="0.25">
      <c r="A17" s="1"/>
      <c r="B17" s="47">
        <f t="shared" si="0"/>
        <v>8</v>
      </c>
      <c r="C17" s="53" t="s">
        <v>11</v>
      </c>
      <c r="D17" s="51" t="s">
        <v>26</v>
      </c>
      <c r="E17" s="51" t="s">
        <v>73</v>
      </c>
      <c r="F17" s="51" t="s">
        <v>118</v>
      </c>
      <c r="G17" s="75" t="s">
        <v>148</v>
      </c>
      <c r="H17" s="51" t="s">
        <v>182</v>
      </c>
      <c r="I17" s="51" t="s">
        <v>289</v>
      </c>
      <c r="J17" s="51" t="s">
        <v>288</v>
      </c>
      <c r="K17" s="51" t="s">
        <v>239</v>
      </c>
      <c r="L17" s="51">
        <v>3</v>
      </c>
      <c r="M17" s="51">
        <f t="shared" ref="M17" si="7">L17*5</f>
        <v>15</v>
      </c>
      <c r="N17" s="51">
        <v>20</v>
      </c>
      <c r="O17" s="64" t="s">
        <v>279</v>
      </c>
      <c r="P17" s="52">
        <v>7.9399999999999998E-2</v>
      </c>
      <c r="Q17" s="52">
        <f t="shared" ref="Q17" si="8">P17*N17</f>
        <v>1.5880000000000001</v>
      </c>
      <c r="R17" s="51"/>
      <c r="S17" s="59"/>
    </row>
    <row r="18" spans="1:19" x14ac:dyDescent="0.25">
      <c r="A18" s="1"/>
      <c r="B18" s="46">
        <f>ROW(B18) - ROW($B$9)</f>
        <v>9</v>
      </c>
      <c r="C18" s="53" t="s">
        <v>11</v>
      </c>
      <c r="D18" s="37" t="s">
        <v>27</v>
      </c>
      <c r="E18" s="37" t="s">
        <v>74</v>
      </c>
      <c r="F18" s="37" t="s">
        <v>119</v>
      </c>
      <c r="G18" s="75" t="s">
        <v>149</v>
      </c>
      <c r="H18" s="37" t="s">
        <v>181</v>
      </c>
      <c r="I18" s="37" t="s">
        <v>291</v>
      </c>
      <c r="J18" s="37" t="s">
        <v>290</v>
      </c>
      <c r="K18" s="37" t="s">
        <v>240</v>
      </c>
      <c r="L18" s="37">
        <v>1</v>
      </c>
      <c r="M18" s="37">
        <f>L18*5</f>
        <v>5</v>
      </c>
      <c r="N18" s="37">
        <v>100</v>
      </c>
      <c r="O18" s="62" t="s">
        <v>279</v>
      </c>
      <c r="P18" s="38">
        <v>3.5000000000000001E-3</v>
      </c>
      <c r="Q18" s="38">
        <f>P18*N18</f>
        <v>0.35000000000000003</v>
      </c>
      <c r="R18" s="37"/>
      <c r="S18" s="59"/>
    </row>
    <row r="19" spans="1:19" x14ac:dyDescent="0.25">
      <c r="A19" s="1"/>
      <c r="B19" s="47">
        <f t="shared" si="0"/>
        <v>10</v>
      </c>
      <c r="C19" s="54" t="s">
        <v>11</v>
      </c>
      <c r="D19" s="51" t="s">
        <v>28</v>
      </c>
      <c r="E19" s="51" t="s">
        <v>75</v>
      </c>
      <c r="F19" s="51" t="s">
        <v>120</v>
      </c>
      <c r="G19" s="51" t="s">
        <v>150</v>
      </c>
      <c r="H19" s="51" t="s">
        <v>183</v>
      </c>
      <c r="I19" s="51" t="s">
        <v>275</v>
      </c>
      <c r="J19" s="51" t="s">
        <v>209</v>
      </c>
      <c r="K19" s="51" t="s">
        <v>236</v>
      </c>
      <c r="L19" s="51">
        <v>2</v>
      </c>
      <c r="M19" s="51">
        <f t="shared" ref="M19" si="9">L19*5</f>
        <v>10</v>
      </c>
      <c r="N19" s="51">
        <v>11</v>
      </c>
      <c r="O19" s="64" t="s">
        <v>279</v>
      </c>
      <c r="P19" s="52">
        <v>0.46139999999999998</v>
      </c>
      <c r="Q19" s="52">
        <f t="shared" ref="Q19" si="10">P19*N19</f>
        <v>5.0754000000000001</v>
      </c>
      <c r="R19" s="51"/>
      <c r="S19" s="59"/>
    </row>
    <row r="20" spans="1:19" ht="36" x14ac:dyDescent="0.25">
      <c r="A20" s="1"/>
      <c r="B20" s="46">
        <f>ROW(B20) - ROW($B$9)</f>
        <v>11</v>
      </c>
      <c r="C20" s="53" t="s">
        <v>11</v>
      </c>
      <c r="D20" s="37" t="s">
        <v>29</v>
      </c>
      <c r="E20" s="37" t="s">
        <v>76</v>
      </c>
      <c r="F20" s="37" t="s">
        <v>117</v>
      </c>
      <c r="G20" s="37" t="s">
        <v>151</v>
      </c>
      <c r="H20" s="37" t="s">
        <v>184</v>
      </c>
      <c r="I20" s="37" t="s">
        <v>275</v>
      </c>
      <c r="J20" s="37" t="s">
        <v>210</v>
      </c>
      <c r="K20" s="37" t="s">
        <v>241</v>
      </c>
      <c r="L20" s="37">
        <v>1</v>
      </c>
      <c r="M20" s="37">
        <f>L20*5</f>
        <v>5</v>
      </c>
      <c r="N20" s="37">
        <v>100</v>
      </c>
      <c r="O20" s="62" t="s">
        <v>279</v>
      </c>
      <c r="P20" s="38">
        <v>6.9999999999999999E-4</v>
      </c>
      <c r="Q20" s="38">
        <f>P20*N20</f>
        <v>6.9999999999999993E-2</v>
      </c>
      <c r="R20" s="37"/>
      <c r="S20" s="59"/>
    </row>
    <row r="21" spans="1:19" ht="24" x14ac:dyDescent="0.25">
      <c r="A21" s="1"/>
      <c r="B21" s="47">
        <f t="shared" si="0"/>
        <v>12</v>
      </c>
      <c r="C21" s="54" t="s">
        <v>11</v>
      </c>
      <c r="D21" s="51" t="s">
        <v>30</v>
      </c>
      <c r="E21" s="51" t="s">
        <v>77</v>
      </c>
      <c r="F21" s="51" t="s">
        <v>114</v>
      </c>
      <c r="G21" s="51" t="s">
        <v>152</v>
      </c>
      <c r="H21" s="51" t="s">
        <v>184</v>
      </c>
      <c r="I21" s="51" t="s">
        <v>275</v>
      </c>
      <c r="J21" s="51" t="s">
        <v>211</v>
      </c>
      <c r="K21" s="51" t="s">
        <v>242</v>
      </c>
      <c r="L21" s="51">
        <v>1</v>
      </c>
      <c r="M21" s="51">
        <f t="shared" ref="M21" si="11">L21*5</f>
        <v>5</v>
      </c>
      <c r="N21" s="51">
        <v>100</v>
      </c>
      <c r="O21" s="64" t="s">
        <v>279</v>
      </c>
      <c r="P21" s="52">
        <v>1.5E-3</v>
      </c>
      <c r="Q21" s="52">
        <f t="shared" ref="Q21" si="12">P21*N21</f>
        <v>0.15</v>
      </c>
      <c r="R21" s="51"/>
      <c r="S21" s="59"/>
    </row>
    <row r="22" spans="1:19" x14ac:dyDescent="0.25">
      <c r="A22" s="1"/>
      <c r="B22" s="46">
        <f>ROW(B22) - ROW($B$9)</f>
        <v>13</v>
      </c>
      <c r="C22" s="54" t="s">
        <v>11</v>
      </c>
      <c r="D22" s="37" t="s">
        <v>31</v>
      </c>
      <c r="E22" s="37" t="s">
        <v>78</v>
      </c>
      <c r="F22" s="37" t="s">
        <v>114</v>
      </c>
      <c r="G22" s="37" t="s">
        <v>153</v>
      </c>
      <c r="H22" s="37" t="s">
        <v>179</v>
      </c>
      <c r="I22" s="37" t="s">
        <v>275</v>
      </c>
      <c r="J22" s="37" t="s">
        <v>212</v>
      </c>
      <c r="K22" s="37" t="s">
        <v>243</v>
      </c>
      <c r="L22" s="37">
        <v>2</v>
      </c>
      <c r="M22" s="37">
        <f>L22*5</f>
        <v>10</v>
      </c>
      <c r="N22" s="37">
        <v>100</v>
      </c>
      <c r="O22" s="62" t="s">
        <v>279</v>
      </c>
      <c r="P22" s="38">
        <v>2.3E-3</v>
      </c>
      <c r="Q22" s="38">
        <f>P22*N22</f>
        <v>0.22999999999999998</v>
      </c>
      <c r="R22" s="37"/>
      <c r="S22" s="59"/>
    </row>
    <row r="23" spans="1:19" x14ac:dyDescent="0.25">
      <c r="A23" s="1"/>
      <c r="B23" s="47">
        <f t="shared" si="0"/>
        <v>14</v>
      </c>
      <c r="C23" s="54" t="s">
        <v>11</v>
      </c>
      <c r="D23" s="51" t="s">
        <v>32</v>
      </c>
      <c r="E23" s="51" t="s">
        <v>79</v>
      </c>
      <c r="F23" s="51" t="s">
        <v>119</v>
      </c>
      <c r="G23" s="51" t="s">
        <v>154</v>
      </c>
      <c r="H23" s="51" t="s">
        <v>179</v>
      </c>
      <c r="I23" s="51" t="s">
        <v>275</v>
      </c>
      <c r="J23" s="51" t="s">
        <v>213</v>
      </c>
      <c r="K23" s="51" t="s">
        <v>244</v>
      </c>
      <c r="L23" s="51">
        <v>2</v>
      </c>
      <c r="M23" s="51">
        <f t="shared" ref="M23" si="13">L23*5</f>
        <v>10</v>
      </c>
      <c r="N23" s="51">
        <v>20</v>
      </c>
      <c r="O23" s="64" t="s">
        <v>279</v>
      </c>
      <c r="P23" s="52">
        <v>3.2800000000000003E-2</v>
      </c>
      <c r="Q23" s="52">
        <f t="shared" ref="Q23" si="14">P23*N23</f>
        <v>0.65600000000000003</v>
      </c>
      <c r="R23" s="51"/>
      <c r="S23" s="59"/>
    </row>
    <row r="24" spans="1:19" x14ac:dyDescent="0.25">
      <c r="A24" s="1"/>
      <c r="B24" s="46">
        <f>ROW(B24) - ROW($B$9)</f>
        <v>15</v>
      </c>
      <c r="C24" s="54" t="s">
        <v>11</v>
      </c>
      <c r="D24" s="37" t="s">
        <v>33</v>
      </c>
      <c r="E24" s="37" t="s">
        <v>80</v>
      </c>
      <c r="F24" s="37" t="s">
        <v>117</v>
      </c>
      <c r="G24" s="75" t="s">
        <v>155</v>
      </c>
      <c r="H24" s="37" t="s">
        <v>181</v>
      </c>
      <c r="I24" s="37" t="s">
        <v>293</v>
      </c>
      <c r="J24" s="37" t="s">
        <v>292</v>
      </c>
      <c r="K24" s="37" t="s">
        <v>245</v>
      </c>
      <c r="L24" s="37">
        <v>8</v>
      </c>
      <c r="M24" s="37">
        <f>L24*5</f>
        <v>40</v>
      </c>
      <c r="N24" s="37">
        <v>100</v>
      </c>
      <c r="O24" s="62" t="s">
        <v>279</v>
      </c>
      <c r="P24" s="38">
        <v>2.3999999999999998E-3</v>
      </c>
      <c r="Q24" s="38">
        <f>P24*N24</f>
        <v>0.24</v>
      </c>
      <c r="R24" s="37"/>
      <c r="S24" s="59"/>
    </row>
    <row r="25" spans="1:19" x14ac:dyDescent="0.25">
      <c r="A25" s="1"/>
      <c r="B25" s="47">
        <f t="shared" si="0"/>
        <v>16</v>
      </c>
      <c r="C25" s="54" t="s">
        <v>11</v>
      </c>
      <c r="D25" s="51" t="s">
        <v>34</v>
      </c>
      <c r="E25" s="51" t="s">
        <v>81</v>
      </c>
      <c r="F25" s="51" t="s">
        <v>114</v>
      </c>
      <c r="G25" s="75" t="s">
        <v>156</v>
      </c>
      <c r="H25" s="51" t="s">
        <v>179</v>
      </c>
      <c r="I25" s="51" t="s">
        <v>294</v>
      </c>
      <c r="J25" s="51" t="s">
        <v>295</v>
      </c>
      <c r="K25" s="51" t="s">
        <v>237</v>
      </c>
      <c r="L25" s="51">
        <v>2</v>
      </c>
      <c r="M25" s="51">
        <f t="shared" ref="M25" si="15">L25*5</f>
        <v>10</v>
      </c>
      <c r="N25" s="51">
        <v>50</v>
      </c>
      <c r="O25" s="64" t="s">
        <v>279</v>
      </c>
      <c r="P25" s="52">
        <v>1.7999999999999999E-2</v>
      </c>
      <c r="Q25" s="52">
        <f t="shared" ref="Q25" si="16">P25*N25</f>
        <v>0.89999999999999991</v>
      </c>
      <c r="R25" s="51"/>
      <c r="S25" s="59"/>
    </row>
    <row r="26" spans="1:19" x14ac:dyDescent="0.25">
      <c r="A26" s="1"/>
      <c r="B26" s="46">
        <f>ROW(B26) - ROW($B$9)</f>
        <v>17</v>
      </c>
      <c r="C26" s="54" t="s">
        <v>11</v>
      </c>
      <c r="D26" s="37" t="s">
        <v>35</v>
      </c>
      <c r="E26" s="37" t="s">
        <v>82</v>
      </c>
      <c r="F26" s="37" t="s">
        <v>117</v>
      </c>
      <c r="G26" s="75" t="s">
        <v>157</v>
      </c>
      <c r="H26" s="37" t="s">
        <v>179</v>
      </c>
      <c r="I26" s="37" t="s">
        <v>296</v>
      </c>
      <c r="J26" s="37" t="s">
        <v>297</v>
      </c>
      <c r="K26" s="37" t="s">
        <v>246</v>
      </c>
      <c r="L26" s="37">
        <v>1</v>
      </c>
      <c r="M26" s="37">
        <f>L26*5</f>
        <v>5</v>
      </c>
      <c r="N26" s="37">
        <v>100</v>
      </c>
      <c r="O26" s="62" t="s">
        <v>279</v>
      </c>
      <c r="P26" s="38">
        <v>2E-3</v>
      </c>
      <c r="Q26" s="38">
        <f>P26*N26</f>
        <v>0.2</v>
      </c>
      <c r="R26" s="37"/>
      <c r="S26" s="59"/>
    </row>
    <row r="27" spans="1:19" ht="24" x14ac:dyDescent="0.25">
      <c r="A27" s="1"/>
      <c r="B27" s="47">
        <f t="shared" si="0"/>
        <v>18</v>
      </c>
      <c r="C27" s="54" t="s">
        <v>12</v>
      </c>
      <c r="D27" s="51" t="s">
        <v>36</v>
      </c>
      <c r="E27" s="51" t="s">
        <v>83</v>
      </c>
      <c r="F27" s="51" t="s">
        <v>121</v>
      </c>
      <c r="G27" s="51" t="s">
        <v>158</v>
      </c>
      <c r="H27" s="51" t="s">
        <v>185</v>
      </c>
      <c r="I27" s="51" t="s">
        <v>275</v>
      </c>
      <c r="J27" s="37" t="s">
        <v>277</v>
      </c>
      <c r="K27" s="51" t="s">
        <v>275</v>
      </c>
      <c r="L27" s="51">
        <v>1</v>
      </c>
      <c r="M27" s="51">
        <f t="shared" ref="M27" si="17">L27*5</f>
        <v>5</v>
      </c>
      <c r="N27" s="51">
        <v>10</v>
      </c>
      <c r="O27" s="64" t="s">
        <v>279</v>
      </c>
      <c r="P27" s="52">
        <v>5.3800000000000001E-2</v>
      </c>
      <c r="Q27" s="52">
        <f t="shared" ref="Q27" si="18">P27*N27</f>
        <v>0.53800000000000003</v>
      </c>
      <c r="R27" s="51"/>
      <c r="S27" s="59"/>
    </row>
    <row r="28" spans="1:19" x14ac:dyDescent="0.25">
      <c r="A28" s="1"/>
      <c r="B28" s="46">
        <f>ROW(B28) - ROW($B$9)</f>
        <v>19</v>
      </c>
      <c r="C28" s="54" t="s">
        <v>12</v>
      </c>
      <c r="D28" s="37" t="s">
        <v>37</v>
      </c>
      <c r="E28" s="37" t="s">
        <v>84</v>
      </c>
      <c r="F28" s="37" t="s">
        <v>122</v>
      </c>
      <c r="G28" s="37" t="s">
        <v>159</v>
      </c>
      <c r="H28" s="37" t="s">
        <v>186</v>
      </c>
      <c r="I28" s="37" t="s">
        <v>275</v>
      </c>
      <c r="J28" s="37" t="s">
        <v>298</v>
      </c>
      <c r="K28" s="37" t="s">
        <v>275</v>
      </c>
      <c r="L28" s="37">
        <v>1</v>
      </c>
      <c r="M28" s="37">
        <f>L28*5</f>
        <v>5</v>
      </c>
      <c r="N28" s="37">
        <v>10</v>
      </c>
      <c r="O28" s="62" t="s">
        <v>279</v>
      </c>
      <c r="P28" s="38">
        <v>5.7599999999999998E-2</v>
      </c>
      <c r="Q28" s="38">
        <f>P28*N28</f>
        <v>0.57599999999999996</v>
      </c>
      <c r="R28" s="37"/>
      <c r="S28" s="59"/>
    </row>
    <row r="29" spans="1:19" ht="24" x14ac:dyDescent="0.25">
      <c r="A29" s="1"/>
      <c r="B29" s="47">
        <f t="shared" si="0"/>
        <v>20</v>
      </c>
      <c r="C29" s="54" t="s">
        <v>12</v>
      </c>
      <c r="D29" s="51" t="s">
        <v>38</v>
      </c>
      <c r="E29" s="51" t="s">
        <v>85</v>
      </c>
      <c r="F29" s="51" t="s">
        <v>282</v>
      </c>
      <c r="G29" s="51" t="s">
        <v>123</v>
      </c>
      <c r="H29" s="51" t="s">
        <v>187</v>
      </c>
      <c r="I29" s="51" t="s">
        <v>275</v>
      </c>
      <c r="J29" s="51" t="s">
        <v>283</v>
      </c>
      <c r="K29" s="51"/>
      <c r="L29" s="51">
        <v>1</v>
      </c>
      <c r="M29" s="51">
        <f t="shared" ref="M29" si="19">L29*5</f>
        <v>5</v>
      </c>
      <c r="N29" s="51">
        <v>20</v>
      </c>
      <c r="O29" s="64" t="s">
        <v>279</v>
      </c>
      <c r="P29" s="52">
        <v>2.8400000000000002E-2</v>
      </c>
      <c r="Q29" s="52">
        <f t="shared" ref="Q29" si="20">P29*N29</f>
        <v>0.56800000000000006</v>
      </c>
      <c r="R29" s="51"/>
      <c r="S29" s="59"/>
    </row>
    <row r="30" spans="1:19" ht="24" x14ac:dyDescent="0.25">
      <c r="A30" s="1"/>
      <c r="B30" s="46">
        <f>ROW(B30) - ROW($B$9)</f>
        <v>21</v>
      </c>
      <c r="C30" s="53" t="s">
        <v>12</v>
      </c>
      <c r="D30" s="37" t="s">
        <v>39</v>
      </c>
      <c r="E30" s="37" t="s">
        <v>86</v>
      </c>
      <c r="F30" s="37" t="s">
        <v>122</v>
      </c>
      <c r="G30" s="37" t="s">
        <v>160</v>
      </c>
      <c r="H30" s="37" t="s">
        <v>188</v>
      </c>
      <c r="I30" s="37" t="s">
        <v>275</v>
      </c>
      <c r="J30" s="37" t="s">
        <v>214</v>
      </c>
      <c r="K30" s="37"/>
      <c r="L30" s="37">
        <v>1</v>
      </c>
      <c r="M30" s="37">
        <f>L30*5</f>
        <v>5</v>
      </c>
      <c r="N30" s="37">
        <v>20</v>
      </c>
      <c r="O30" s="62" t="s">
        <v>279</v>
      </c>
      <c r="P30" s="38">
        <v>3.3599999999999998E-2</v>
      </c>
      <c r="Q30" s="38">
        <f>P30*N30</f>
        <v>0.67199999999999993</v>
      </c>
      <c r="R30" s="37"/>
      <c r="S30" s="59"/>
    </row>
    <row r="31" spans="1:19" ht="24" x14ac:dyDescent="0.25">
      <c r="A31" s="1"/>
      <c r="B31" s="47">
        <f t="shared" si="0"/>
        <v>22</v>
      </c>
      <c r="C31" s="53" t="s">
        <v>14</v>
      </c>
      <c r="D31" s="51" t="s">
        <v>40</v>
      </c>
      <c r="E31" s="51" t="s">
        <v>87</v>
      </c>
      <c r="F31" s="37" t="s">
        <v>274</v>
      </c>
      <c r="G31" s="51" t="s">
        <v>124</v>
      </c>
      <c r="H31" s="51" t="s">
        <v>189</v>
      </c>
      <c r="I31" s="51" t="s">
        <v>275</v>
      </c>
      <c r="J31" s="51" t="s">
        <v>275</v>
      </c>
      <c r="K31" s="51" t="s">
        <v>275</v>
      </c>
      <c r="L31" s="51">
        <v>1</v>
      </c>
      <c r="M31" s="51">
        <f t="shared" ref="M31" si="21">L31*5</f>
        <v>5</v>
      </c>
      <c r="N31" s="51">
        <v>6</v>
      </c>
      <c r="O31" s="81" t="s">
        <v>304</v>
      </c>
      <c r="P31" s="52">
        <v>1.3</v>
      </c>
      <c r="Q31" s="52">
        <f t="shared" ref="Q31" si="22">P31*N31</f>
        <v>7.8000000000000007</v>
      </c>
      <c r="R31" s="51"/>
      <c r="S31" s="59"/>
    </row>
    <row r="32" spans="1:19" ht="36" x14ac:dyDescent="0.25">
      <c r="A32" s="1"/>
      <c r="B32" s="46">
        <f>ROW(B32) - ROW($B$9)</f>
        <v>23</v>
      </c>
      <c r="C32" s="53" t="s">
        <v>271</v>
      </c>
      <c r="D32" s="37" t="s">
        <v>41</v>
      </c>
      <c r="E32" s="37" t="s">
        <v>88</v>
      </c>
      <c r="F32" s="37" t="s">
        <v>274</v>
      </c>
      <c r="G32" s="37" t="s">
        <v>125</v>
      </c>
      <c r="H32" s="37" t="s">
        <v>190</v>
      </c>
      <c r="I32" s="37" t="s">
        <v>275</v>
      </c>
      <c r="J32" s="37" t="s">
        <v>278</v>
      </c>
      <c r="K32" s="37"/>
      <c r="L32" s="37">
        <v>2</v>
      </c>
      <c r="M32" s="37">
        <f>L32*5</f>
        <v>10</v>
      </c>
      <c r="N32" s="37">
        <v>11</v>
      </c>
      <c r="O32" s="62" t="s">
        <v>279</v>
      </c>
      <c r="P32" s="38">
        <v>1.8072999999999999</v>
      </c>
      <c r="Q32" s="38">
        <f>P32*N32</f>
        <v>19.880299999999998</v>
      </c>
      <c r="R32" s="37"/>
      <c r="S32" s="59"/>
    </row>
    <row r="33" spans="1:19" x14ac:dyDescent="0.25">
      <c r="A33" s="1"/>
      <c r="B33" s="47">
        <f t="shared" si="0"/>
        <v>24</v>
      </c>
      <c r="C33" s="53" t="s">
        <v>14</v>
      </c>
      <c r="D33" s="51" t="s">
        <v>42</v>
      </c>
      <c r="E33" s="51" t="s">
        <v>89</v>
      </c>
      <c r="F33" s="37" t="s">
        <v>274</v>
      </c>
      <c r="G33" s="75" t="s">
        <v>126</v>
      </c>
      <c r="H33" s="51" t="s">
        <v>189</v>
      </c>
      <c r="I33" s="51" t="s">
        <v>303</v>
      </c>
      <c r="J33" s="51" t="s">
        <v>303</v>
      </c>
      <c r="K33" s="51" t="s">
        <v>275</v>
      </c>
      <c r="L33" s="51">
        <v>1</v>
      </c>
      <c r="M33" s="51">
        <f t="shared" ref="M33" si="23">L33*5</f>
        <v>5</v>
      </c>
      <c r="N33" s="51">
        <v>20</v>
      </c>
      <c r="O33" s="62" t="s">
        <v>279</v>
      </c>
      <c r="P33" s="52">
        <v>3.3799999999999997E-2</v>
      </c>
      <c r="Q33" s="52">
        <f t="shared" ref="Q33" si="24">P33*N33</f>
        <v>0.67599999999999993</v>
      </c>
      <c r="R33" s="51"/>
      <c r="S33" s="59"/>
    </row>
    <row r="34" spans="1:19" x14ac:dyDescent="0.25">
      <c r="A34" s="1"/>
      <c r="B34" s="46">
        <f>ROW(B34) - ROW($B$9)</f>
        <v>25</v>
      </c>
      <c r="C34" s="53" t="s">
        <v>13</v>
      </c>
      <c r="D34" s="37" t="s">
        <v>43</v>
      </c>
      <c r="E34" s="37" t="s">
        <v>90</v>
      </c>
      <c r="F34" s="37" t="s">
        <v>127</v>
      </c>
      <c r="G34" s="37" t="s">
        <v>161</v>
      </c>
      <c r="H34" s="37" t="s">
        <v>182</v>
      </c>
      <c r="I34" s="37" t="s">
        <v>275</v>
      </c>
      <c r="J34" s="37" t="s">
        <v>215</v>
      </c>
      <c r="K34" s="37" t="s">
        <v>247</v>
      </c>
      <c r="L34" s="37">
        <v>1</v>
      </c>
      <c r="M34" s="37">
        <f>L34*5</f>
        <v>5</v>
      </c>
      <c r="N34" s="37">
        <v>10</v>
      </c>
      <c r="O34" s="62" t="s">
        <v>279</v>
      </c>
      <c r="P34" s="38">
        <v>0.2137</v>
      </c>
      <c r="Q34" s="38">
        <f>P34*N34</f>
        <v>2.137</v>
      </c>
      <c r="R34" s="37"/>
      <c r="S34" s="59"/>
    </row>
    <row r="35" spans="1:19" ht="24" x14ac:dyDescent="0.25">
      <c r="A35" s="1"/>
      <c r="B35" s="47">
        <f t="shared" si="0"/>
        <v>26</v>
      </c>
      <c r="C35" s="54" t="s">
        <v>13</v>
      </c>
      <c r="D35" s="51" t="s">
        <v>44</v>
      </c>
      <c r="E35" s="51" t="s">
        <v>91</v>
      </c>
      <c r="F35" s="51" t="s">
        <v>274</v>
      </c>
      <c r="G35" s="51" t="s">
        <v>162</v>
      </c>
      <c r="H35" s="51" t="s">
        <v>191</v>
      </c>
      <c r="I35" s="51" t="s">
        <v>275</v>
      </c>
      <c r="J35" s="51" t="s">
        <v>216</v>
      </c>
      <c r="K35" s="51" t="s">
        <v>248</v>
      </c>
      <c r="L35" s="51">
        <v>1</v>
      </c>
      <c r="M35" s="51">
        <f t="shared" ref="M35" si="25">L35*5</f>
        <v>5</v>
      </c>
      <c r="N35" s="51">
        <v>10</v>
      </c>
      <c r="O35" s="64" t="s">
        <v>279</v>
      </c>
      <c r="P35" s="52">
        <v>0.1734</v>
      </c>
      <c r="Q35" s="52">
        <f t="shared" ref="Q35" si="26">P35*N35</f>
        <v>1.734</v>
      </c>
      <c r="R35" s="51"/>
      <c r="S35" s="59"/>
    </row>
    <row r="36" spans="1:19" ht="24" x14ac:dyDescent="0.25">
      <c r="A36" s="1"/>
      <c r="B36" s="46">
        <f>ROW(B36) - ROW($B$9)</f>
        <v>27</v>
      </c>
      <c r="C36" s="53" t="s">
        <v>14</v>
      </c>
      <c r="D36" s="37" t="s">
        <v>45</v>
      </c>
      <c r="E36" s="37" t="s">
        <v>92</v>
      </c>
      <c r="F36" s="37" t="s">
        <v>128</v>
      </c>
      <c r="G36" s="37" t="s">
        <v>163</v>
      </c>
      <c r="H36" s="37" t="s">
        <v>192</v>
      </c>
      <c r="I36" s="37" t="s">
        <v>275</v>
      </c>
      <c r="J36" s="37" t="s">
        <v>217</v>
      </c>
      <c r="K36" s="37" t="s">
        <v>275</v>
      </c>
      <c r="L36" s="37">
        <v>1</v>
      </c>
      <c r="M36" s="37">
        <f>L36*5</f>
        <v>5</v>
      </c>
      <c r="N36" s="37">
        <v>10</v>
      </c>
      <c r="O36" s="62" t="s">
        <v>279</v>
      </c>
      <c r="P36" s="38">
        <v>4.19E-2</v>
      </c>
      <c r="Q36" s="38">
        <f>P36*N36</f>
        <v>0.41899999999999998</v>
      </c>
      <c r="R36" s="37"/>
      <c r="S36" s="59"/>
    </row>
    <row r="37" spans="1:19" x14ac:dyDescent="0.25">
      <c r="A37" s="1"/>
      <c r="B37" s="47">
        <f t="shared" si="0"/>
        <v>28</v>
      </c>
      <c r="C37" s="53" t="s">
        <v>14</v>
      </c>
      <c r="D37" s="51" t="s">
        <v>46</v>
      </c>
      <c r="E37" s="51" t="s">
        <v>93</v>
      </c>
      <c r="F37" s="51" t="s">
        <v>129</v>
      </c>
      <c r="G37" s="75">
        <v>8266292</v>
      </c>
      <c r="H37" s="51" t="s">
        <v>193</v>
      </c>
      <c r="I37" s="51" t="s">
        <v>275</v>
      </c>
      <c r="J37" s="51" t="s">
        <v>285</v>
      </c>
      <c r="K37" s="51" t="s">
        <v>275</v>
      </c>
      <c r="L37" s="51">
        <v>2</v>
      </c>
      <c r="M37" s="51">
        <f t="shared" ref="M37" si="27">L37*5</f>
        <v>10</v>
      </c>
      <c r="N37" s="51">
        <v>20</v>
      </c>
      <c r="O37" s="63" t="s">
        <v>279</v>
      </c>
      <c r="P37" s="52">
        <v>2.46E-2</v>
      </c>
      <c r="Q37" s="52">
        <f t="shared" ref="Q37" si="28">P37*N37</f>
        <v>0.49199999999999999</v>
      </c>
      <c r="R37" s="51"/>
      <c r="S37" s="59"/>
    </row>
    <row r="38" spans="1:19" s="61" customFormat="1" x14ac:dyDescent="0.25">
      <c r="A38" s="60"/>
      <c r="B38" s="46">
        <f>ROW(B38) - ROW($B$9)</f>
        <v>29</v>
      </c>
      <c r="C38" s="53" t="s">
        <v>249</v>
      </c>
      <c r="D38" s="82" t="s">
        <v>273</v>
      </c>
      <c r="E38" s="82" t="s">
        <v>94</v>
      </c>
      <c r="F38" s="82" t="s">
        <v>274</v>
      </c>
      <c r="G38" s="82" t="s">
        <v>130</v>
      </c>
      <c r="H38" s="82" t="s">
        <v>275</v>
      </c>
      <c r="I38" s="82" t="s">
        <v>275</v>
      </c>
      <c r="J38" s="82" t="s">
        <v>275</v>
      </c>
      <c r="K38" s="82" t="s">
        <v>275</v>
      </c>
      <c r="L38" s="82">
        <v>10</v>
      </c>
      <c r="M38" s="82">
        <f>L38*5</f>
        <v>50</v>
      </c>
      <c r="N38" s="82" t="s">
        <v>275</v>
      </c>
      <c r="O38" s="82" t="s">
        <v>275</v>
      </c>
      <c r="P38" s="83" t="s">
        <v>275</v>
      </c>
      <c r="Q38" s="83" t="s">
        <v>275</v>
      </c>
      <c r="R38" s="82" t="s">
        <v>305</v>
      </c>
      <c r="S38" s="84"/>
    </row>
    <row r="39" spans="1:19" x14ac:dyDescent="0.25">
      <c r="A39" s="1"/>
      <c r="B39" s="46">
        <f>ROW(B39) - ROW($B$9)</f>
        <v>30</v>
      </c>
      <c r="C39" s="53" t="s">
        <v>272</v>
      </c>
      <c r="D39" s="37" t="s">
        <v>47</v>
      </c>
      <c r="E39" s="37" t="s">
        <v>95</v>
      </c>
      <c r="F39" s="37" t="s">
        <v>276</v>
      </c>
      <c r="G39" s="37" t="s">
        <v>131</v>
      </c>
      <c r="H39" s="37" t="s">
        <v>194</v>
      </c>
      <c r="I39" s="37" t="s">
        <v>275</v>
      </c>
      <c r="J39" s="51" t="s">
        <v>281</v>
      </c>
      <c r="K39" s="37" t="s">
        <v>275</v>
      </c>
      <c r="L39" s="37">
        <v>1</v>
      </c>
      <c r="M39" s="37">
        <f>L39*5</f>
        <v>5</v>
      </c>
      <c r="N39" s="37">
        <v>10</v>
      </c>
      <c r="O39" s="62" t="s">
        <v>279</v>
      </c>
      <c r="P39" s="38">
        <v>0.2094</v>
      </c>
      <c r="Q39" s="38">
        <f>P39*N39</f>
        <v>2.0939999999999999</v>
      </c>
      <c r="R39" s="37"/>
      <c r="S39" s="59"/>
    </row>
    <row r="40" spans="1:19" x14ac:dyDescent="0.25">
      <c r="A40" s="1"/>
      <c r="B40" s="47">
        <f t="shared" si="0"/>
        <v>31</v>
      </c>
      <c r="C40" s="54" t="s">
        <v>15</v>
      </c>
      <c r="D40" s="51" t="s">
        <v>48</v>
      </c>
      <c r="E40" s="51" t="s">
        <v>96</v>
      </c>
      <c r="F40" s="51" t="s">
        <v>132</v>
      </c>
      <c r="G40" s="51" t="s">
        <v>164</v>
      </c>
      <c r="H40" s="51" t="s">
        <v>179</v>
      </c>
      <c r="I40" s="51" t="s">
        <v>275</v>
      </c>
      <c r="J40" s="51" t="s">
        <v>218</v>
      </c>
      <c r="K40" s="51" t="s">
        <v>250</v>
      </c>
      <c r="L40" s="51">
        <v>2</v>
      </c>
      <c r="M40" s="51">
        <f t="shared" ref="M40" si="29">L40*5</f>
        <v>10</v>
      </c>
      <c r="N40" s="51">
        <v>100</v>
      </c>
      <c r="O40" s="64" t="s">
        <v>279</v>
      </c>
      <c r="P40" s="52">
        <v>8.9999999999999998E-4</v>
      </c>
      <c r="Q40" s="52">
        <f t="shared" ref="Q40" si="30">P40*N40</f>
        <v>0.09</v>
      </c>
      <c r="R40" s="51"/>
      <c r="S40" s="59"/>
    </row>
    <row r="41" spans="1:19" x14ac:dyDescent="0.25">
      <c r="A41" s="1"/>
      <c r="B41" s="46">
        <f>ROW(B41) - ROW($B$9)</f>
        <v>32</v>
      </c>
      <c r="C41" s="53" t="s">
        <v>15</v>
      </c>
      <c r="D41" s="37" t="s">
        <v>49</v>
      </c>
      <c r="E41" s="37" t="s">
        <v>97</v>
      </c>
      <c r="F41" s="37" t="s">
        <v>133</v>
      </c>
      <c r="G41" s="37" t="s">
        <v>165</v>
      </c>
      <c r="H41" s="37" t="s">
        <v>179</v>
      </c>
      <c r="I41" s="37" t="s">
        <v>275</v>
      </c>
      <c r="J41" s="37" t="s">
        <v>219</v>
      </c>
      <c r="K41" s="37" t="s">
        <v>251</v>
      </c>
      <c r="L41" s="37">
        <v>1</v>
      </c>
      <c r="M41" s="37">
        <f>L41*5</f>
        <v>5</v>
      </c>
      <c r="N41" s="37">
        <v>100</v>
      </c>
      <c r="O41" s="62" t="s">
        <v>279</v>
      </c>
      <c r="P41" s="38">
        <v>3.2000000000000002E-3</v>
      </c>
      <c r="Q41" s="38">
        <f>P41*N41</f>
        <v>0.32</v>
      </c>
      <c r="R41" s="37"/>
      <c r="S41" s="59"/>
    </row>
    <row r="42" spans="1:19" ht="24" x14ac:dyDescent="0.25">
      <c r="A42" s="1"/>
      <c r="B42" s="47">
        <f t="shared" si="0"/>
        <v>33</v>
      </c>
      <c r="C42" s="54" t="s">
        <v>15</v>
      </c>
      <c r="D42" s="51" t="s">
        <v>50</v>
      </c>
      <c r="E42" s="51" t="s">
        <v>98</v>
      </c>
      <c r="F42" s="51" t="s">
        <v>134</v>
      </c>
      <c r="G42" s="51" t="s">
        <v>166</v>
      </c>
      <c r="H42" s="51" t="s">
        <v>195</v>
      </c>
      <c r="I42" s="51" t="s">
        <v>275</v>
      </c>
      <c r="J42" s="51" t="s">
        <v>220</v>
      </c>
      <c r="K42" s="51" t="s">
        <v>252</v>
      </c>
      <c r="L42" s="51">
        <v>2</v>
      </c>
      <c r="M42" s="51">
        <f t="shared" ref="M42" si="31">L42*5</f>
        <v>10</v>
      </c>
      <c r="N42" s="51">
        <v>50</v>
      </c>
      <c r="O42" s="64" t="s">
        <v>279</v>
      </c>
      <c r="P42" s="52">
        <v>1.2999999999999999E-2</v>
      </c>
      <c r="Q42" s="52">
        <f t="shared" ref="Q42" si="32">P42*N42</f>
        <v>0.65</v>
      </c>
      <c r="R42" s="51"/>
      <c r="S42" s="59"/>
    </row>
    <row r="43" spans="1:19" x14ac:dyDescent="0.25">
      <c r="A43" s="1"/>
      <c r="B43" s="46">
        <f>ROW(B43) - ROW($B$9)</f>
        <v>34</v>
      </c>
      <c r="C43" s="53" t="s">
        <v>15</v>
      </c>
      <c r="D43" s="37" t="s">
        <v>51</v>
      </c>
      <c r="E43" s="37" t="s">
        <v>99</v>
      </c>
      <c r="F43" s="37" t="s">
        <v>132</v>
      </c>
      <c r="G43" s="37" t="s">
        <v>167</v>
      </c>
      <c r="H43" s="37" t="s">
        <v>179</v>
      </c>
      <c r="I43" s="37" t="s">
        <v>275</v>
      </c>
      <c r="J43" s="37" t="s">
        <v>221</v>
      </c>
      <c r="K43" s="37" t="s">
        <v>253</v>
      </c>
      <c r="L43" s="37">
        <v>2</v>
      </c>
      <c r="M43" s="37">
        <f>L43*5</f>
        <v>10</v>
      </c>
      <c r="N43" s="37">
        <v>100</v>
      </c>
      <c r="O43" s="62" t="s">
        <v>279</v>
      </c>
      <c r="P43" s="38">
        <v>6.9999999999999999E-4</v>
      </c>
      <c r="Q43" s="38">
        <f>P43*N43</f>
        <v>6.9999999999999993E-2</v>
      </c>
      <c r="R43" s="37"/>
      <c r="S43" s="59"/>
    </row>
    <row r="44" spans="1:19" x14ac:dyDescent="0.25">
      <c r="A44" s="1"/>
      <c r="B44" s="47">
        <f t="shared" si="0"/>
        <v>35</v>
      </c>
      <c r="C44" s="54" t="s">
        <v>15</v>
      </c>
      <c r="D44" s="51" t="s">
        <v>52</v>
      </c>
      <c r="E44" s="51" t="s">
        <v>100</v>
      </c>
      <c r="F44" s="51" t="s">
        <v>133</v>
      </c>
      <c r="G44" s="51" t="s">
        <v>168</v>
      </c>
      <c r="H44" s="51" t="s">
        <v>179</v>
      </c>
      <c r="I44" s="51" t="s">
        <v>275</v>
      </c>
      <c r="J44" s="51" t="s">
        <v>222</v>
      </c>
      <c r="K44" s="51" t="s">
        <v>254</v>
      </c>
      <c r="L44" s="51">
        <v>1</v>
      </c>
      <c r="M44" s="51">
        <f t="shared" ref="M44" si="33">L44*5</f>
        <v>5</v>
      </c>
      <c r="N44" s="51">
        <v>20</v>
      </c>
      <c r="O44" s="64" t="s">
        <v>279</v>
      </c>
      <c r="P44" s="52">
        <v>2.8400000000000002E-2</v>
      </c>
      <c r="Q44" s="52">
        <f t="shared" ref="Q44" si="34">P44*N44</f>
        <v>0.56800000000000006</v>
      </c>
      <c r="R44" s="51"/>
      <c r="S44" s="59"/>
    </row>
    <row r="45" spans="1:19" ht="24" x14ac:dyDescent="0.25">
      <c r="A45" s="1"/>
      <c r="B45" s="46">
        <f>ROW(B45) - ROW($B$9)</f>
        <v>36</v>
      </c>
      <c r="C45" s="53" t="s">
        <v>16</v>
      </c>
      <c r="D45" s="76" t="s">
        <v>53</v>
      </c>
      <c r="E45" s="76" t="s">
        <v>101</v>
      </c>
      <c r="F45" s="76" t="s">
        <v>274</v>
      </c>
      <c r="G45" s="76" t="s">
        <v>135</v>
      </c>
      <c r="H45" s="76" t="s">
        <v>196</v>
      </c>
      <c r="I45" s="76" t="s">
        <v>275</v>
      </c>
      <c r="J45" s="76" t="s">
        <v>223</v>
      </c>
      <c r="K45" s="76" t="s">
        <v>255</v>
      </c>
      <c r="L45" s="76">
        <v>1</v>
      </c>
      <c r="M45" s="76">
        <f>L45*5</f>
        <v>5</v>
      </c>
      <c r="N45" s="76" t="s">
        <v>275</v>
      </c>
      <c r="O45" s="77" t="s">
        <v>279</v>
      </c>
      <c r="P45" s="78" t="s">
        <v>275</v>
      </c>
      <c r="Q45" s="78" t="s">
        <v>275</v>
      </c>
      <c r="R45" s="37"/>
      <c r="S45" s="59"/>
    </row>
    <row r="46" spans="1:19" ht="36" x14ac:dyDescent="0.25">
      <c r="A46" s="1"/>
      <c r="B46" s="47">
        <f t="shared" si="0"/>
        <v>37</v>
      </c>
      <c r="C46" s="54" t="s">
        <v>15</v>
      </c>
      <c r="D46" s="51" t="s">
        <v>54</v>
      </c>
      <c r="E46" s="51" t="s">
        <v>102</v>
      </c>
      <c r="F46" s="51" t="s">
        <v>132</v>
      </c>
      <c r="G46" s="51" t="s">
        <v>169</v>
      </c>
      <c r="H46" s="51" t="s">
        <v>197</v>
      </c>
      <c r="I46" s="51" t="s">
        <v>275</v>
      </c>
      <c r="J46" s="51" t="s">
        <v>224</v>
      </c>
      <c r="K46" s="51" t="s">
        <v>256</v>
      </c>
      <c r="L46" s="51">
        <v>1</v>
      </c>
      <c r="M46" s="51">
        <f t="shared" ref="M46" si="35">L46*5</f>
        <v>5</v>
      </c>
      <c r="N46" s="51">
        <v>100</v>
      </c>
      <c r="O46" s="64" t="s">
        <v>279</v>
      </c>
      <c r="P46" s="52">
        <v>8.9999999999999998E-4</v>
      </c>
      <c r="Q46" s="52">
        <f t="shared" ref="Q46" si="36">P46*N46</f>
        <v>0.09</v>
      </c>
      <c r="R46" s="51"/>
      <c r="S46" s="59"/>
    </row>
    <row r="47" spans="1:19" x14ac:dyDescent="0.25">
      <c r="A47" s="1"/>
      <c r="B47" s="46">
        <f>ROW(B47) - ROW($B$9)</f>
        <v>38</v>
      </c>
      <c r="C47" s="53" t="s">
        <v>15</v>
      </c>
      <c r="D47" s="37" t="s">
        <v>55</v>
      </c>
      <c r="E47" s="37" t="s">
        <v>103</v>
      </c>
      <c r="F47" s="37" t="s">
        <v>132</v>
      </c>
      <c r="G47" s="37" t="s">
        <v>170</v>
      </c>
      <c r="H47" s="37" t="s">
        <v>198</v>
      </c>
      <c r="I47" s="37" t="s">
        <v>275</v>
      </c>
      <c r="J47" s="37" t="s">
        <v>225</v>
      </c>
      <c r="K47" s="37" t="s">
        <v>257</v>
      </c>
      <c r="L47" s="37">
        <v>1</v>
      </c>
      <c r="M47" s="37">
        <f>L47*5</f>
        <v>5</v>
      </c>
      <c r="N47" s="37">
        <v>100</v>
      </c>
      <c r="O47" s="62" t="s">
        <v>279</v>
      </c>
      <c r="P47" s="38">
        <v>1.5E-3</v>
      </c>
      <c r="Q47" s="38">
        <f>P47*N47</f>
        <v>0.15</v>
      </c>
      <c r="R47" s="37"/>
      <c r="S47" s="59"/>
    </row>
    <row r="48" spans="1:19" x14ac:dyDescent="0.25">
      <c r="A48" s="1"/>
      <c r="B48" s="47">
        <f t="shared" si="0"/>
        <v>39</v>
      </c>
      <c r="C48" s="53" t="s">
        <v>15</v>
      </c>
      <c r="D48" s="51" t="s">
        <v>56</v>
      </c>
      <c r="E48" s="51" t="s">
        <v>104</v>
      </c>
      <c r="F48" s="51" t="s">
        <v>132</v>
      </c>
      <c r="G48" s="51" t="s">
        <v>171</v>
      </c>
      <c r="H48" s="51" t="s">
        <v>179</v>
      </c>
      <c r="I48" s="51" t="s">
        <v>275</v>
      </c>
      <c r="J48" s="51" t="s">
        <v>226</v>
      </c>
      <c r="K48" s="51" t="s">
        <v>250</v>
      </c>
      <c r="L48" s="51">
        <v>2</v>
      </c>
      <c r="M48" s="51">
        <f t="shared" ref="M48" si="37">L48*5</f>
        <v>10</v>
      </c>
      <c r="N48" s="51">
        <v>100</v>
      </c>
      <c r="O48" s="64" t="s">
        <v>279</v>
      </c>
      <c r="P48" s="52">
        <v>8.0000000000000004E-4</v>
      </c>
      <c r="Q48" s="52">
        <f t="shared" ref="Q48" si="38">P48*N48</f>
        <v>0.08</v>
      </c>
      <c r="R48" s="51"/>
      <c r="S48" s="59"/>
    </row>
    <row r="49" spans="1:19" ht="36" x14ac:dyDescent="0.25">
      <c r="A49" s="1"/>
      <c r="B49" s="46">
        <f>ROW(B49) - ROW($B$9)</f>
        <v>40</v>
      </c>
      <c r="C49" s="53" t="s">
        <v>15</v>
      </c>
      <c r="D49" s="37" t="s">
        <v>57</v>
      </c>
      <c r="E49" s="37" t="s">
        <v>105</v>
      </c>
      <c r="F49" s="37" t="s">
        <v>132</v>
      </c>
      <c r="G49" s="37" t="s">
        <v>172</v>
      </c>
      <c r="H49" s="37" t="s">
        <v>197</v>
      </c>
      <c r="I49" s="37" t="s">
        <v>275</v>
      </c>
      <c r="J49" s="37" t="s">
        <v>227</v>
      </c>
      <c r="K49" s="37" t="s">
        <v>258</v>
      </c>
      <c r="L49" s="37">
        <v>1</v>
      </c>
      <c r="M49" s="37">
        <f>L49*5</f>
        <v>5</v>
      </c>
      <c r="N49" s="37">
        <v>100</v>
      </c>
      <c r="O49" s="62" t="s">
        <v>279</v>
      </c>
      <c r="P49" s="38">
        <v>5.0000000000000001E-4</v>
      </c>
      <c r="Q49" s="38">
        <f>P49*N49</f>
        <v>0.05</v>
      </c>
      <c r="R49" s="37"/>
      <c r="S49" s="59"/>
    </row>
    <row r="50" spans="1:19" x14ac:dyDescent="0.25">
      <c r="A50" s="1"/>
      <c r="B50" s="47">
        <f t="shared" si="0"/>
        <v>41</v>
      </c>
      <c r="C50" s="54" t="s">
        <v>15</v>
      </c>
      <c r="D50" s="51" t="s">
        <v>58</v>
      </c>
      <c r="E50" s="51" t="s">
        <v>106</v>
      </c>
      <c r="F50" s="51" t="s">
        <v>132</v>
      </c>
      <c r="G50" s="51" t="s">
        <v>173</v>
      </c>
      <c r="H50" s="51" t="s">
        <v>179</v>
      </c>
      <c r="I50" s="51" t="s">
        <v>275</v>
      </c>
      <c r="J50" s="51" t="s">
        <v>228</v>
      </c>
      <c r="K50" s="51" t="s">
        <v>259</v>
      </c>
      <c r="L50" s="51">
        <v>8</v>
      </c>
      <c r="M50" s="51">
        <f t="shared" ref="M50" si="39">L50*5</f>
        <v>40</v>
      </c>
      <c r="N50" s="51">
        <v>100</v>
      </c>
      <c r="O50" s="64" t="s">
        <v>279</v>
      </c>
      <c r="P50" s="52">
        <v>1E-3</v>
      </c>
      <c r="Q50" s="52">
        <f t="shared" ref="Q50" si="40">P50*N50</f>
        <v>0.1</v>
      </c>
      <c r="R50" s="51"/>
      <c r="S50" s="59"/>
    </row>
    <row r="51" spans="1:19" x14ac:dyDescent="0.25">
      <c r="A51" s="1"/>
      <c r="B51" s="46">
        <f>ROW(B51) - ROW($B$9)</f>
        <v>42</v>
      </c>
      <c r="C51" s="53" t="s">
        <v>15</v>
      </c>
      <c r="D51" s="37" t="s">
        <v>59</v>
      </c>
      <c r="E51" s="37" t="s">
        <v>107</v>
      </c>
      <c r="F51" s="37" t="s">
        <v>132</v>
      </c>
      <c r="G51" s="37" t="s">
        <v>174</v>
      </c>
      <c r="H51" s="37" t="s">
        <v>179</v>
      </c>
      <c r="I51" s="37" t="s">
        <v>275</v>
      </c>
      <c r="J51" s="37" t="s">
        <v>229</v>
      </c>
      <c r="K51" s="37" t="s">
        <v>260</v>
      </c>
      <c r="L51" s="37">
        <v>2</v>
      </c>
      <c r="M51" s="37">
        <f>L51*5</f>
        <v>10</v>
      </c>
      <c r="N51" s="37">
        <v>100</v>
      </c>
      <c r="O51" s="62" t="s">
        <v>279</v>
      </c>
      <c r="P51" s="38">
        <v>5.4999999999999997E-3</v>
      </c>
      <c r="Q51" s="38">
        <f>P51*N51</f>
        <v>0.54999999999999993</v>
      </c>
      <c r="R51" s="37"/>
      <c r="S51" s="59"/>
    </row>
    <row r="52" spans="1:19" x14ac:dyDescent="0.25">
      <c r="A52" s="1"/>
      <c r="B52" s="47">
        <f t="shared" si="0"/>
        <v>43</v>
      </c>
      <c r="C52" s="54" t="s">
        <v>136</v>
      </c>
      <c r="D52" s="51" t="s">
        <v>60</v>
      </c>
      <c r="E52" s="51" t="s">
        <v>108</v>
      </c>
      <c r="F52" s="51" t="s">
        <v>274</v>
      </c>
      <c r="G52" s="51" t="s">
        <v>136</v>
      </c>
      <c r="H52" s="37" t="s">
        <v>275</v>
      </c>
      <c r="I52" s="37" t="s">
        <v>275</v>
      </c>
      <c r="J52" s="37" t="s">
        <v>275</v>
      </c>
      <c r="K52" s="37" t="s">
        <v>275</v>
      </c>
      <c r="L52" s="51">
        <v>2</v>
      </c>
      <c r="M52" s="51">
        <f t="shared" ref="M52" si="41">L52*5</f>
        <v>10</v>
      </c>
      <c r="N52" s="51" t="s">
        <v>275</v>
      </c>
      <c r="O52" s="51" t="s">
        <v>275</v>
      </c>
      <c r="P52" s="52" t="s">
        <v>275</v>
      </c>
      <c r="Q52" s="52" t="s">
        <v>275</v>
      </c>
      <c r="R52" s="51"/>
      <c r="S52" s="59"/>
    </row>
    <row r="53" spans="1:19" ht="36" x14ac:dyDescent="0.25">
      <c r="A53" s="1"/>
      <c r="B53" s="46">
        <f>ROW(B53) - ROW($B$9)</f>
        <v>44</v>
      </c>
      <c r="C53" s="53" t="s">
        <v>17</v>
      </c>
      <c r="D53" s="37" t="s">
        <v>61</v>
      </c>
      <c r="E53" s="37" t="s">
        <v>109</v>
      </c>
      <c r="F53" s="37" t="s">
        <v>137</v>
      </c>
      <c r="G53" s="37" t="s">
        <v>175</v>
      </c>
      <c r="H53" s="37" t="s">
        <v>199</v>
      </c>
      <c r="I53" s="37" t="s">
        <v>275</v>
      </c>
      <c r="J53" s="37" t="s">
        <v>230</v>
      </c>
      <c r="K53" s="37" t="s">
        <v>275</v>
      </c>
      <c r="L53" s="37">
        <v>1</v>
      </c>
      <c r="M53" s="37">
        <f>L53*5</f>
        <v>5</v>
      </c>
      <c r="N53" s="37">
        <v>10</v>
      </c>
      <c r="O53" s="62" t="s">
        <v>279</v>
      </c>
      <c r="P53" s="38">
        <v>0.16550000000000001</v>
      </c>
      <c r="Q53" s="38">
        <f>P53*N53</f>
        <v>1.655</v>
      </c>
      <c r="R53" s="37"/>
      <c r="S53" s="59"/>
    </row>
    <row r="54" spans="1:19" x14ac:dyDescent="0.25">
      <c r="A54" s="1"/>
      <c r="B54" s="47">
        <f t="shared" si="0"/>
        <v>45</v>
      </c>
      <c r="C54" s="54" t="s">
        <v>17</v>
      </c>
      <c r="D54" s="51" t="s">
        <v>62</v>
      </c>
      <c r="E54" s="51" t="s">
        <v>110</v>
      </c>
      <c r="F54" s="51" t="s">
        <v>138</v>
      </c>
      <c r="G54" s="51" t="s">
        <v>176</v>
      </c>
      <c r="H54" s="51" t="s">
        <v>200</v>
      </c>
      <c r="I54" s="51" t="s">
        <v>275</v>
      </c>
      <c r="J54" s="51" t="s">
        <v>231</v>
      </c>
      <c r="K54" s="37" t="s">
        <v>275</v>
      </c>
      <c r="L54" s="51">
        <v>1</v>
      </c>
      <c r="M54" s="51">
        <f t="shared" ref="M54" si="42">L54*5</f>
        <v>5</v>
      </c>
      <c r="N54" s="51">
        <v>6</v>
      </c>
      <c r="O54" s="64" t="s">
        <v>279</v>
      </c>
      <c r="P54" s="52">
        <v>0.63959999999999995</v>
      </c>
      <c r="Q54" s="52">
        <f t="shared" ref="Q54" si="43">P54*N54</f>
        <v>3.8375999999999997</v>
      </c>
      <c r="R54" s="51"/>
      <c r="S54" s="59"/>
    </row>
    <row r="55" spans="1:19" x14ac:dyDescent="0.25">
      <c r="A55" s="1"/>
      <c r="B55" s="46">
        <f>ROW(B55) - ROW($B$9)</f>
        <v>46</v>
      </c>
      <c r="C55" s="54" t="s">
        <v>17</v>
      </c>
      <c r="D55" s="37" t="s">
        <v>63</v>
      </c>
      <c r="E55" s="37" t="s">
        <v>111</v>
      </c>
      <c r="F55" s="37" t="s">
        <v>139</v>
      </c>
      <c r="G55" s="37" t="s">
        <v>139</v>
      </c>
      <c r="H55" s="37" t="s">
        <v>201</v>
      </c>
      <c r="I55" s="37" t="s">
        <v>275</v>
      </c>
      <c r="J55" s="37" t="s">
        <v>280</v>
      </c>
      <c r="K55" s="37" t="s">
        <v>275</v>
      </c>
      <c r="L55" s="37">
        <v>1</v>
      </c>
      <c r="M55" s="37">
        <f>L55*5</f>
        <v>5</v>
      </c>
      <c r="N55" s="37">
        <v>6</v>
      </c>
      <c r="O55" s="64" t="s">
        <v>279</v>
      </c>
      <c r="P55" s="38">
        <v>3.7195999999999998</v>
      </c>
      <c r="Q55" s="38">
        <f>P55*N55</f>
        <v>22.317599999999999</v>
      </c>
      <c r="R55" s="37"/>
      <c r="S55" s="59"/>
    </row>
    <row r="56" spans="1:19" ht="15.75" thickBot="1" x14ac:dyDescent="0.3">
      <c r="A56" s="1"/>
      <c r="B56" s="47">
        <f t="shared" si="0"/>
        <v>47</v>
      </c>
      <c r="C56" s="54" t="s">
        <v>17</v>
      </c>
      <c r="D56" s="51" t="s">
        <v>64</v>
      </c>
      <c r="E56" s="51" t="s">
        <v>112</v>
      </c>
      <c r="F56" s="51" t="s">
        <v>140</v>
      </c>
      <c r="G56" s="51" t="s">
        <v>177</v>
      </c>
      <c r="H56" s="51" t="s">
        <v>202</v>
      </c>
      <c r="I56" s="51" t="s">
        <v>275</v>
      </c>
      <c r="J56" s="51" t="s">
        <v>232</v>
      </c>
      <c r="K56" s="37" t="s">
        <v>275</v>
      </c>
      <c r="L56" s="51">
        <v>1</v>
      </c>
      <c r="M56" s="51">
        <f t="shared" ref="M56" si="44">L56*5</f>
        <v>5</v>
      </c>
      <c r="N56" s="51">
        <v>6</v>
      </c>
      <c r="O56" s="64" t="s">
        <v>279</v>
      </c>
      <c r="P56" s="52">
        <v>0.33100000000000002</v>
      </c>
      <c r="Q56" s="52">
        <f t="shared" ref="Q56" si="45">P56*N56</f>
        <v>1.9860000000000002</v>
      </c>
      <c r="R56" s="51"/>
      <c r="S56" s="39"/>
    </row>
    <row r="57" spans="1:19" ht="19.5" thickBot="1" x14ac:dyDescent="0.3">
      <c r="A57" s="1"/>
      <c r="B57" s="40"/>
      <c r="C57" s="41"/>
      <c r="D57" s="42"/>
      <c r="E57" s="43"/>
      <c r="F57" s="44"/>
      <c r="G57" s="45"/>
      <c r="H57" s="44"/>
      <c r="I57" s="45"/>
      <c r="J57" s="44"/>
      <c r="K57" s="45"/>
      <c r="L57" s="45"/>
      <c r="M57" s="45"/>
      <c r="N57" s="73" t="s">
        <v>5</v>
      </c>
      <c r="O57" s="74"/>
      <c r="P57" s="74"/>
      <c r="Q57" s="48">
        <f>SUM(Q10:Q56)</f>
        <v>83.841899999999995</v>
      </c>
      <c r="R57" s="69"/>
      <c r="S57" s="70"/>
    </row>
    <row r="58" spans="1:19" ht="19.5" thickBot="1" x14ac:dyDescent="0.3">
      <c r="A58" s="1"/>
      <c r="B58" s="25"/>
      <c r="C58" s="36"/>
      <c r="D58" s="9"/>
      <c r="E58" s="10"/>
      <c r="F58" s="10"/>
      <c r="G58" s="10"/>
      <c r="H58" s="10"/>
      <c r="I58" s="10"/>
      <c r="J58" s="10"/>
      <c r="K58" s="10"/>
      <c r="L58" s="10"/>
      <c r="M58" s="10"/>
      <c r="N58" s="73" t="s">
        <v>6</v>
      </c>
      <c r="O58" s="74"/>
      <c r="P58" s="74"/>
      <c r="Q58" s="49">
        <f>Q57/5</f>
        <v>16.768380000000001</v>
      </c>
      <c r="R58" s="71"/>
      <c r="S58" s="72"/>
    </row>
  </sheetData>
  <mergeCells count="5">
    <mergeCell ref="K1:S1"/>
    <mergeCell ref="S3:S8"/>
    <mergeCell ref="R57:S58"/>
    <mergeCell ref="N57:P57"/>
    <mergeCell ref="N58:P58"/>
  </mergeCells>
  <conditionalFormatting sqref="O3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{9216FD13-9563-4082-B277-980B44E05C88}</x14:id>
        </ext>
      </extLst>
    </cfRule>
  </conditionalFormatting>
  <hyperlinks>
    <hyperlink ref="O32" r:id="rId1"/>
    <hyperlink ref="O55" r:id="rId2"/>
    <hyperlink ref="O39" r:id="rId3"/>
    <hyperlink ref="O10" r:id="rId4"/>
    <hyperlink ref="O11" r:id="rId5"/>
    <hyperlink ref="O12" r:id="rId6"/>
    <hyperlink ref="O13" r:id="rId7"/>
    <hyperlink ref="O14" r:id="rId8"/>
    <hyperlink ref="O16" r:id="rId9"/>
    <hyperlink ref="O19" r:id="rId10"/>
    <hyperlink ref="O20" r:id="rId11"/>
    <hyperlink ref="O21" r:id="rId12"/>
    <hyperlink ref="O22" r:id="rId13"/>
    <hyperlink ref="O23" r:id="rId14"/>
    <hyperlink ref="O27" r:id="rId15"/>
    <hyperlink ref="O30" r:id="rId16"/>
    <hyperlink ref="O29" r:id="rId17"/>
    <hyperlink ref="O34" r:id="rId18"/>
    <hyperlink ref="O35" r:id="rId19"/>
    <hyperlink ref="O36" r:id="rId20"/>
    <hyperlink ref="O37" r:id="rId21"/>
    <hyperlink ref="O40" r:id="rId22"/>
    <hyperlink ref="O41" r:id="rId23"/>
    <hyperlink ref="O42" r:id="rId24"/>
    <hyperlink ref="O43" r:id="rId25"/>
    <hyperlink ref="O44" r:id="rId26"/>
    <hyperlink ref="O45" r:id="rId27"/>
    <hyperlink ref="O46" r:id="rId28"/>
    <hyperlink ref="O47" r:id="rId29"/>
    <hyperlink ref="O48" r:id="rId30"/>
    <hyperlink ref="O49" r:id="rId31"/>
    <hyperlink ref="O50" r:id="rId32"/>
    <hyperlink ref="O51" r:id="rId33"/>
    <hyperlink ref="O53" r:id="rId34"/>
    <hyperlink ref="O54" r:id="rId35"/>
    <hyperlink ref="O56" r:id="rId36"/>
    <hyperlink ref="O15" r:id="rId37"/>
    <hyperlink ref="O17" r:id="rId38"/>
    <hyperlink ref="O18" r:id="rId39"/>
    <hyperlink ref="O24" r:id="rId40"/>
    <hyperlink ref="O25" r:id="rId41"/>
    <hyperlink ref="O26" r:id="rId42"/>
    <hyperlink ref="O28" r:id="rId43"/>
    <hyperlink ref="O33" r:id="rId44"/>
    <hyperlink ref="O31" r:id="rId45"/>
  </hyperlinks>
  <pageMargins left="0.7" right="0.7" top="0.75" bottom="0.75" header="0.3" footer="0.3"/>
  <pageSetup paperSize="9" orientation="portrait" r:id="rId46"/>
  <drawing r:id="rId47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16FD13-9563-4082-B277-980B44E05C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 Boards</vt:lpstr>
      <vt:lpstr>5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2023-05-04T12:21:47Z</dcterms:modified>
</cp:coreProperties>
</file>