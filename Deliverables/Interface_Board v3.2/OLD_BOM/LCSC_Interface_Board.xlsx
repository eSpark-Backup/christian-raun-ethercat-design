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PENDER\Documents\GitHub\ChristianRaun-EthercatDesign\Deliverables\Interface_Board\BOM\"/>
    </mc:Choice>
  </mc:AlternateContent>
  <bookViews>
    <workbookView xWindow="0" yWindow="0" windowWidth="24000" windowHeight="979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M33" i="1" l="1"/>
  <c r="M32" i="1"/>
  <c r="R31" i="1"/>
  <c r="P31" i="1"/>
  <c r="M31" i="1"/>
  <c r="R30" i="1"/>
  <c r="P30" i="1"/>
  <c r="M30" i="1"/>
  <c r="R29" i="1"/>
  <c r="P29" i="1"/>
  <c r="M29" i="1"/>
  <c r="R28" i="1"/>
  <c r="P28" i="1"/>
  <c r="M28" i="1"/>
  <c r="R27" i="1"/>
  <c r="P27" i="1"/>
  <c r="M27" i="1"/>
  <c r="R26" i="1"/>
  <c r="P26" i="1"/>
  <c r="M26" i="1"/>
  <c r="R25" i="1"/>
  <c r="P25" i="1"/>
  <c r="M25" i="1"/>
  <c r="R24" i="1"/>
  <c r="P24" i="1"/>
  <c r="M24" i="1"/>
  <c r="R23" i="1"/>
  <c r="P23" i="1"/>
  <c r="M23" i="1"/>
  <c r="R22" i="1"/>
  <c r="P22" i="1"/>
  <c r="M22" i="1"/>
  <c r="R21" i="1"/>
  <c r="P21" i="1"/>
  <c r="M21" i="1"/>
  <c r="R20" i="1"/>
  <c r="P20" i="1"/>
  <c r="M20" i="1"/>
  <c r="R19" i="1"/>
  <c r="P19" i="1"/>
  <c r="M19" i="1"/>
  <c r="R18" i="1"/>
  <c r="P18" i="1"/>
  <c r="M18" i="1"/>
  <c r="R17" i="1"/>
  <c r="P17" i="1"/>
  <c r="M17" i="1"/>
  <c r="R16" i="1"/>
  <c r="P16" i="1"/>
  <c r="M16" i="1"/>
  <c r="R15" i="1"/>
  <c r="P15" i="1"/>
  <c r="M15" i="1"/>
  <c r="R14" i="1"/>
  <c r="P14" i="1"/>
  <c r="M14" i="1"/>
  <c r="R13" i="1"/>
  <c r="P13" i="1"/>
  <c r="M13" i="1"/>
  <c r="R12" i="1"/>
  <c r="P12" i="1"/>
  <c r="M12" i="1"/>
  <c r="R11" i="1"/>
  <c r="P11" i="1"/>
  <c r="M11" i="1"/>
  <c r="R10" i="1"/>
  <c r="P10" i="1"/>
  <c r="M10" i="1"/>
  <c r="R9" i="1"/>
  <c r="P9" i="1"/>
  <c r="M9" i="1"/>
  <c r="R8" i="1"/>
  <c r="P8" i="1"/>
  <c r="M8" i="1"/>
  <c r="R7" i="1"/>
  <c r="P7" i="1"/>
  <c r="M7" i="1"/>
  <c r="R6" i="1"/>
  <c r="P6" i="1"/>
  <c r="M6" i="1"/>
  <c r="R5" i="1"/>
  <c r="P5" i="1"/>
  <c r="M5" i="1"/>
  <c r="R4" i="1"/>
  <c r="P4" i="1"/>
  <c r="M4" i="1"/>
  <c r="R3" i="1"/>
  <c r="R34" i="1" s="1"/>
  <c r="R35" i="1" s="1"/>
  <c r="P3" i="1"/>
  <c r="P34" i="1" s="1"/>
  <c r="M3" i="1"/>
</calcChain>
</file>

<file path=xl/sharedStrings.xml><?xml version="1.0" encoding="utf-8"?>
<sst xmlns="http://schemas.openxmlformats.org/spreadsheetml/2006/main" count="301" uniqueCount="214">
  <si>
    <t>Bill of Material (BOM) for Interface_Board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</si>
  <si>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</si>
  <si>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</si>
  <si>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</si>
  <si>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</si>
  <si>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</si>
  <si>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</si>
  <si>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</si>
  <si>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</si>
  <si>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</si>
  <si>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</si>
  <si>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LCSC/MOQ</t>
  </si>
  <si>
    <t>Quantity (Per Board)</t>
  </si>
  <si>
    <t>Quantity 5</t>
  </si>
  <si>
    <t>Link</t>
  </si>
  <si>
    <t>Unit Cost(1)</t>
  </si>
  <si>
    <t>Total Cost (1)</t>
  </si>
  <si>
    <t>Unit Cost(5)</t>
  </si>
  <si>
    <t>MOQ Total</t>
  </si>
  <si>
    <t>Remarks</t>
  </si>
  <si>
    <t>Quotation of orignal parts from Chinese supplier</t>
  </si>
  <si>
    <t>Capacitor</t>
  </si>
  <si>
    <t>CAP CER 0.1UF 100V X7R 0603</t>
  </si>
  <si>
    <t>C34, C35, C37, C40</t>
  </si>
  <si>
    <t>Cap0603</t>
  </si>
  <si>
    <t>CC0603KRX7R0BB104</t>
  </si>
  <si>
    <t>Yageo</t>
  </si>
  <si>
    <t>C113803</t>
  </si>
  <si>
    <t>------------</t>
  </si>
  <si>
    <t>0.1uF</t>
  </si>
  <si>
    <t>LCSC</t>
  </si>
  <si>
    <t>CAP CER 1UF 100V X7S 0805</t>
  </si>
  <si>
    <t>C45</t>
  </si>
  <si>
    <t>Cap0805</t>
  </si>
  <si>
    <t>GCM21BC72A105KE36L</t>
  </si>
  <si>
    <t>Murata</t>
  </si>
  <si>
    <t>C2842838</t>
  </si>
  <si>
    <t>1uF</t>
  </si>
  <si>
    <t>CAP CER 10PF 50V C0G/NP0 0603</t>
  </si>
  <si>
    <t>C48, C49, C50, C51, C52, C53, C54, C55</t>
  </si>
  <si>
    <t>06035A100JAT2A</t>
  </si>
  <si>
    <t>Kyocera AVX</t>
  </si>
  <si>
    <t>C525235</t>
  </si>
  <si>
    <t>FN18N100J500PSG</t>
  </si>
  <si>
    <t>10pF</t>
  </si>
  <si>
    <t>CAP CER 0.022UF 100V X7R 0603</t>
  </si>
  <si>
    <t>C36, C56, C57</t>
  </si>
  <si>
    <t>CGA3E2X7R2A223K080AA</t>
  </si>
  <si>
    <t xml:space="preserve">TDK </t>
  </si>
  <si>
    <t>C21122</t>
  </si>
  <si>
    <t xml:space="preserve">CL10B223KB8NNNC
</t>
  </si>
  <si>
    <t>22nF</t>
  </si>
  <si>
    <t>CAP CER 2.2UF 50V X5R 0603</t>
  </si>
  <si>
    <t>C38</t>
  </si>
  <si>
    <t>UMK107BBJ225MA-T</t>
  </si>
  <si>
    <t xml:space="preserve">Taiyo Yuden
</t>
  </si>
  <si>
    <t>C268016</t>
  </si>
  <si>
    <t xml:space="preserve">UMK107BBJ225KA-T
</t>
  </si>
  <si>
    <t>2.2uF</t>
  </si>
  <si>
    <t>25V 5mm 10mm 100uF 100kHz SMD,5x10mm Aluminum Electrolytic Cap- SMD ROHS</t>
  </si>
  <si>
    <t>C43</t>
  </si>
  <si>
    <t>Custom</t>
  </si>
  <si>
    <t>VKMB1001E101MV</t>
  </si>
  <si>
    <t xml:space="preserve">Ymin </t>
  </si>
  <si>
    <t>C487322</t>
  </si>
  <si>
    <t>100uF</t>
  </si>
  <si>
    <t>63V 10mm 8mm 100uF ±20% ,8x10mm Aluminum Electrolytic Cap</t>
  </si>
  <si>
    <t>C44, C79</t>
  </si>
  <si>
    <t>VKMD1001J101MV</t>
  </si>
  <si>
    <t>C487384</t>
  </si>
  <si>
    <t>C1</t>
  </si>
  <si>
    <t>Honor Elec</t>
  </si>
  <si>
    <t>C3343</t>
  </si>
  <si>
    <t>10uF</t>
  </si>
  <si>
    <t xml:space="preserve">10V 22uF ±10% CASE-A_3216 Tantalum Capacitors ROHS
</t>
  </si>
  <si>
    <t>C2</t>
  </si>
  <si>
    <t>Cap Case-A</t>
  </si>
  <si>
    <t>CA45A-A-10V-22uF-K</t>
  </si>
  <si>
    <t>CEC</t>
  </si>
  <si>
    <t>C141745</t>
  </si>
  <si>
    <t>22uF</t>
  </si>
  <si>
    <t xml:space="preserve">CAP CER 1000PF 2KV X7R 1206
</t>
  </si>
  <si>
    <t>C58</t>
  </si>
  <si>
    <t>Cap1206</t>
  </si>
  <si>
    <t>CC1206KKX7RDBB102</t>
  </si>
  <si>
    <t>YAGEO</t>
  </si>
  <si>
    <t>C23631</t>
  </si>
  <si>
    <t>1000pF</t>
  </si>
  <si>
    <t>Diode</t>
  </si>
  <si>
    <t xml:space="preserve">DIODE SCHOTTKY 30V 3A CFP5
</t>
  </si>
  <si>
    <t>D2</t>
  </si>
  <si>
    <t xml:space="preserve">SOD-128
</t>
  </si>
  <si>
    <t>PMEG3030EP,115</t>
  </si>
  <si>
    <t xml:space="preserve">Nexperia </t>
  </si>
  <si>
    <t>C255587</t>
  </si>
  <si>
    <t>-----</t>
  </si>
  <si>
    <t>SOD-523 Schottky Barrier Diodes (SBD) ROHS</t>
  </si>
  <si>
    <t>D3</t>
  </si>
  <si>
    <t>SOD-523</t>
  </si>
  <si>
    <t>MSK4010</t>
  </si>
  <si>
    <t>Tak Cheong</t>
  </si>
  <si>
    <t>C968723</t>
  </si>
  <si>
    <t>Mosfet</t>
  </si>
  <si>
    <t>MOSFET N-CH 20V 4.2A SOT23</t>
  </si>
  <si>
    <t>Q1</t>
  </si>
  <si>
    <t>SOT-23</t>
  </si>
  <si>
    <t>IRLML2502TRPBF</t>
  </si>
  <si>
    <t xml:space="preserve"> INFINEON</t>
  </si>
  <si>
    <t>Inductor</t>
  </si>
  <si>
    <t>FIXED IND 33UH 2.5A 189.2MOHM SM</t>
  </si>
  <si>
    <t>L10</t>
  </si>
  <si>
    <t>ETQ-P4M330YFN</t>
  </si>
  <si>
    <t xml:space="preserve">Panasonic </t>
  </si>
  <si>
    <t>Custom Supplier</t>
  </si>
  <si>
    <t>Resistor</t>
  </si>
  <si>
    <t>RES SMD 10K OHM 5% 1/10W 0603</t>
  </si>
  <si>
    <t>R1,R18</t>
  </si>
  <si>
    <t>Res0603</t>
  </si>
  <si>
    <t>AC0603JR-0710KL</t>
  </si>
  <si>
    <t>C140867</t>
  </si>
  <si>
    <t>10K</t>
  </si>
  <si>
    <t>RES  SMD 330R 100 mW 0603</t>
  </si>
  <si>
    <t xml:space="preserve"> R33, R39</t>
  </si>
  <si>
    <t>RC0603JR-07330RL</t>
  </si>
  <si>
    <t>C105879</t>
  </si>
  <si>
    <t>330R</t>
  </si>
  <si>
    <t>RES SMD 1K OHM 1% 1/10W 0603</t>
  </si>
  <si>
    <t>R21, R22, R29</t>
  </si>
  <si>
    <t>RC0603FR-071KL</t>
  </si>
  <si>
    <t>C22548</t>
  </si>
  <si>
    <t>1K</t>
  </si>
  <si>
    <t>RES SMD ±5% ±200ppm/℃ 0.18Ω 1W 2512</t>
  </si>
  <si>
    <t>R19, R20</t>
  </si>
  <si>
    <t>RES 2512</t>
  </si>
  <si>
    <t>RTT25R18JTE</t>
  </si>
  <si>
    <t xml:space="preserve">
RALEC</t>
  </si>
  <si>
    <t>C159165</t>
  </si>
  <si>
    <t>180m</t>
  </si>
  <si>
    <t>RES 0.075 OHM 1% 2W 2512</t>
  </si>
  <si>
    <t>R27</t>
  </si>
  <si>
    <t>CSRN2512FK75L0</t>
  </si>
  <si>
    <t xml:space="preserve">Stackpole </t>
  </si>
  <si>
    <t>C705611</t>
  </si>
  <si>
    <t xml:space="preserve">RL2512FK-070R075L
</t>
  </si>
  <si>
    <t>75m</t>
  </si>
  <si>
    <t>RES SMD 9kΩ ±100ppm/℃ 0.125W 0805</t>
  </si>
  <si>
    <t>R28</t>
  </si>
  <si>
    <t>0805W8F9001T5E</t>
  </si>
  <si>
    <t>UNI-ROYAL</t>
  </si>
  <si>
    <t>C247026</t>
  </si>
  <si>
    <t>9K</t>
  </si>
  <si>
    <t xml:space="preserve">RES 49.9K OHM 1% 1/10W 0603
</t>
  </si>
  <si>
    <t>R30, R31, R32, R34, R35, R36, R37, R38</t>
  </si>
  <si>
    <t>RC0603FR-0749K9L</t>
  </si>
  <si>
    <t>C114624</t>
  </si>
  <si>
    <t>49K9</t>
  </si>
  <si>
    <t>IC</t>
  </si>
  <si>
    <t xml:space="preserve">IC MTR DRV BIPOLAR 5.5-36V 32QFN
</t>
  </si>
  <si>
    <t>U3</t>
  </si>
  <si>
    <t>32-QFN (5x5)</t>
  </si>
  <si>
    <t>TMC2202-WA-T</t>
  </si>
  <si>
    <t xml:space="preserve">Trinamic </t>
  </si>
  <si>
    <t>Alibaba</t>
  </si>
  <si>
    <t>MOQ=10</t>
  </si>
  <si>
    <t>2A 40V SOIC-8_EP_150mil DC-DC Converters ROHS</t>
  </si>
  <si>
    <t>U7</t>
  </si>
  <si>
    <t>8-SOIC</t>
  </si>
  <si>
    <t>XL4001E1</t>
  </si>
  <si>
    <t xml:space="preserve">XLSEMI </t>
  </si>
  <si>
    <t>C73347</t>
  </si>
  <si>
    <t xml:space="preserve">IC REG LINEAR 3.3V 1A SOT223
</t>
  </si>
  <si>
    <t>U1</t>
  </si>
  <si>
    <t xml:space="preserve">SOT-223-3
</t>
  </si>
  <si>
    <t>AZ1117CH-3.3TRG1</t>
  </si>
  <si>
    <t xml:space="preserve">Diodes </t>
  </si>
  <si>
    <t>C92102</t>
  </si>
  <si>
    <t>---</t>
  </si>
  <si>
    <t>Connector</t>
  </si>
  <si>
    <t>P=2.54mm Female Headers,SMD,ROHS</t>
  </si>
  <si>
    <t>J1</t>
  </si>
  <si>
    <t>PHF254SMD-x</t>
  </si>
  <si>
    <t>RTLECS</t>
  </si>
  <si>
    <t>Aliexpress</t>
  </si>
  <si>
    <t>MOQ=100</t>
  </si>
  <si>
    <t>10/100 BASE-TX RJ45 WITH LEDS_x000D_
INTEGRATED MAGNETICS CONNECTOR</t>
  </si>
  <si>
    <t>J2, J3</t>
  </si>
  <si>
    <t>SK07-111071ENL</t>
  </si>
  <si>
    <t>SAK ELECTRONICS CO.,LTD</t>
  </si>
  <si>
    <t>----</t>
  </si>
  <si>
    <t>Local Supplier</t>
  </si>
  <si>
    <t>CONN HEADER 4 POS 2.54mm SMD</t>
  </si>
  <si>
    <t>J4</t>
  </si>
  <si>
    <t>1125N1202SNM</t>
  </si>
  <si>
    <t>2.54mm Black Brass Plugin,P=2.54mm Pin Headers ROHS</t>
  </si>
  <si>
    <t>P1</t>
  </si>
  <si>
    <t>C37208</t>
  </si>
  <si>
    <t>BOOMELEC</t>
  </si>
  <si>
    <t>CONN HEADER VERT 2POS 2.54MM</t>
  </si>
  <si>
    <t>P2, P3</t>
  </si>
  <si>
    <t>HDR1X2</t>
  </si>
  <si>
    <t>826629-2</t>
  </si>
  <si>
    <t>TE Connectivity</t>
  </si>
  <si>
    <t>C86471</t>
  </si>
  <si>
    <t>Solder Bridge ON</t>
  </si>
  <si>
    <t xml:space="preserve"> SB1,SB2, SB3,SB3, SB4,SB5</t>
  </si>
  <si>
    <t>Solder Bridge</t>
  </si>
  <si>
    <t>DO NOT Mount</t>
  </si>
  <si>
    <t>Test Point ON</t>
  </si>
  <si>
    <t>P4, P5, P6, P7,P8</t>
  </si>
  <si>
    <t>TEST POINT</t>
  </si>
  <si>
    <t xml:space="preserve">Total Component Cost </t>
  </si>
  <si>
    <t>Single Board Cost</t>
  </si>
  <si>
    <t>CAP CER 10UF 25V X5R 0603</t>
  </si>
  <si>
    <t>GRM188R61E106MA73J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</si>
</sst>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7" formatCode="&quot;$&quot;#,##0.0000"/>
    <numFmt numFmtId="168" formatCode="_-[$$-409]* #,##0.00_ ;_-[$$-409]* \-#,##0.00\ ;_-[$$-409]* &quot;-&quot;??_ ;_-@_ "/>
  </numFmts>
  <fonts count="24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333333"/>
      <name val="Calibri"/>
      <charset val="134"/>
      <scheme val="minor"/>
    </font>
    <font>
      <strike/>
      <sz val="11"/>
      <color rgb="FFFF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trike/>
      <sz val="11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800080"/>
      <name val="Calibri"/>
      <charset val="134"/>
      <scheme val="minor"/>
    </font>
    <font>
      <sz val="11"/>
      <color rgb="FF333333"/>
      <name val="Calibri"/>
      <charset val="134"/>
    </font>
    <font>
      <u/>
      <sz val="11"/>
      <color theme="10"/>
      <name val="Calibri"/>
      <charset val="134"/>
      <scheme val="minor"/>
    </font>
    <font>
      <sz val="11"/>
      <name val="Calibri"/>
      <charset val="134"/>
    </font>
    <font>
      <u/>
      <sz val="11"/>
      <color rgb="FF0000FF"/>
      <name val="Calibri"/>
      <charset val="134"/>
      <scheme val="minor"/>
    </font>
    <font>
      <sz val="11"/>
      <color rgb="FF24292F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trike/>
      <sz val="11"/>
      <color rgb="FFFF0000"/>
      <name val="Calibri"/>
      <charset val="134"/>
      <scheme val="minor"/>
    </font>
    <font>
      <b/>
      <strike/>
      <sz val="11"/>
      <color rgb="FFFF0000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67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0" fillId="4" borderId="8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0" fillId="4" borderId="11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0" fillId="4" borderId="14" xfId="0" applyFont="1" applyFill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0" fillId="4" borderId="10" xfId="0" applyFont="1" applyFill="1" applyBorder="1" applyAlignment="1">
      <alignment horizontal="left" vertical="center"/>
    </xf>
    <xf numFmtId="0" fontId="0" fillId="6" borderId="8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0" fillId="6" borderId="11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3" borderId="19" xfId="0" applyFont="1" applyFill="1" applyBorder="1" applyAlignment="1">
      <alignment horizontal="center" vertical="center"/>
    </xf>
    <xf numFmtId="167" fontId="2" fillId="3" borderId="4" xfId="0" applyNumberFormat="1" applyFont="1" applyFill="1" applyBorder="1" applyAlignment="1">
      <alignment horizontal="center" vertical="center"/>
    </xf>
    <xf numFmtId="167" fontId="11" fillId="0" borderId="8" xfId="1" applyNumberFormat="1" applyFont="1" applyBorder="1" applyAlignment="1">
      <alignment horizontal="center" vertical="center"/>
    </xf>
    <xf numFmtId="167" fontId="12" fillId="0" borderId="8" xfId="0" applyNumberFormat="1" applyFont="1" applyBorder="1" applyAlignment="1">
      <alignment horizontal="center" vertical="center"/>
    </xf>
    <xf numFmtId="167" fontId="11" fillId="0" borderId="11" xfId="1" applyNumberFormat="1" applyFont="1" applyBorder="1" applyAlignment="1">
      <alignment horizontal="center" vertical="center"/>
    </xf>
    <xf numFmtId="167" fontId="12" fillId="0" borderId="11" xfId="0" applyNumberFormat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167" fontId="14" fillId="0" borderId="11" xfId="0" applyNumberFormat="1" applyFont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167" fontId="12" fillId="0" borderId="11" xfId="0" applyNumberFormat="1" applyFont="1" applyFill="1" applyBorder="1" applyAlignment="1">
      <alignment horizontal="center" vertical="center"/>
    </xf>
    <xf numFmtId="167" fontId="12" fillId="0" borderId="14" xfId="0" applyNumberFormat="1" applyFont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167" fontId="12" fillId="4" borderId="14" xfId="0" applyNumberFormat="1" applyFont="1" applyFill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167" fontId="12" fillId="4" borderId="16" xfId="0" applyNumberFormat="1" applyFont="1" applyFill="1" applyBorder="1" applyAlignment="1">
      <alignment horizontal="center" vertical="center"/>
    </xf>
    <xf numFmtId="167" fontId="12" fillId="0" borderId="16" xfId="0" applyNumberFormat="1" applyFont="1" applyBorder="1" applyAlignment="1">
      <alignment horizontal="center" vertical="center"/>
    </xf>
    <xf numFmtId="0" fontId="0" fillId="6" borderId="18" xfId="0" applyFont="1" applyFill="1" applyBorder="1" applyAlignment="1">
      <alignment horizontal="center" vertical="center"/>
    </xf>
    <xf numFmtId="167" fontId="15" fillId="6" borderId="18" xfId="1" applyNumberFormat="1" applyFont="1" applyFill="1" applyBorder="1" applyAlignment="1">
      <alignment horizontal="center" vertical="center"/>
    </xf>
    <xf numFmtId="167" fontId="16" fillId="6" borderId="18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167" fontId="12" fillId="4" borderId="8" xfId="0" applyNumberFormat="1" applyFont="1" applyFill="1" applyBorder="1" applyAlignment="1">
      <alignment horizontal="center" vertical="center"/>
    </xf>
    <xf numFmtId="167" fontId="12" fillId="4" borderId="11" xfId="0" applyNumberFormat="1" applyFont="1" applyFill="1" applyBorder="1" applyAlignment="1">
      <alignment horizontal="center" vertical="center"/>
    </xf>
    <xf numFmtId="167" fontId="14" fillId="4" borderId="11" xfId="0" applyNumberFormat="1" applyFont="1" applyFill="1" applyBorder="1" applyAlignment="1">
      <alignment horizontal="center" vertical="center"/>
    </xf>
    <xf numFmtId="167" fontId="13" fillId="4" borderId="14" xfId="1" applyNumberFormat="1" applyFont="1" applyFill="1" applyBorder="1" applyAlignment="1">
      <alignment horizontal="center" vertical="center"/>
    </xf>
    <xf numFmtId="167" fontId="13" fillId="6" borderId="8" xfId="1" applyNumberFormat="1" applyFont="1" applyFill="1" applyBorder="1" applyAlignment="1">
      <alignment horizontal="center" vertical="center"/>
    </xf>
    <xf numFmtId="167" fontId="12" fillId="6" borderId="8" xfId="0" applyNumberFormat="1" applyFont="1" applyFill="1" applyBorder="1" applyAlignment="1">
      <alignment horizontal="center" vertical="center"/>
    </xf>
    <xf numFmtId="0" fontId="17" fillId="6" borderId="8" xfId="1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11" fillId="6" borderId="11" xfId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12" fillId="6" borderId="11" xfId="0" applyNumberFormat="1" applyFont="1" applyFill="1" applyBorder="1" applyAlignment="1">
      <alignment horizontal="center" vertical="center"/>
    </xf>
    <xf numFmtId="167" fontId="19" fillId="6" borderId="11" xfId="0" applyNumberFormat="1" applyFont="1" applyFill="1" applyBorder="1" applyAlignment="1">
      <alignment horizontal="center" vertical="center"/>
    </xf>
    <xf numFmtId="0" fontId="11" fillId="4" borderId="11" xfId="1" applyFill="1" applyBorder="1" applyAlignment="1">
      <alignment horizontal="center" vertical="center"/>
    </xf>
    <xf numFmtId="167" fontId="14" fillId="0" borderId="0" xfId="0" applyNumberFormat="1" applyFont="1" applyAlignment="1">
      <alignment horizontal="center" vertical="center"/>
    </xf>
    <xf numFmtId="167" fontId="12" fillId="0" borderId="11" xfId="0" applyNumberFormat="1" applyFont="1" applyFill="1" applyBorder="1" applyAlignment="1">
      <alignment horizontal="center" vertical="center"/>
    </xf>
    <xf numFmtId="167" fontId="9" fillId="7" borderId="11" xfId="0" applyNumberFormat="1" applyFont="1" applyFill="1" applyBorder="1" applyAlignment="1">
      <alignment horizontal="center" vertical="center"/>
    </xf>
    <xf numFmtId="167" fontId="9" fillId="7" borderId="14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19" fillId="0" borderId="8" xfId="0" applyNumberFormat="1" applyFont="1" applyBorder="1" applyAlignment="1">
      <alignment horizontal="center" vertical="center"/>
    </xf>
    <xf numFmtId="164" fontId="0" fillId="0" borderId="22" xfId="0" applyNumberFormat="1" applyFont="1" applyBorder="1" applyAlignment="1">
      <alignment horizontal="center" vertical="center"/>
    </xf>
    <xf numFmtId="167" fontId="19" fillId="0" borderId="11" xfId="0" applyNumberFormat="1" applyFont="1" applyBorder="1" applyAlignment="1">
      <alignment horizontal="center" vertical="center"/>
    </xf>
    <xf numFmtId="164" fontId="0" fillId="0" borderId="23" xfId="0" applyNumberFormat="1" applyFont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0" fontId="0" fillId="0" borderId="0" xfId="0" applyFont="1"/>
    <xf numFmtId="168" fontId="22" fillId="4" borderId="1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wrapText="1"/>
    </xf>
    <xf numFmtId="167" fontId="19" fillId="0" borderId="14" xfId="0" applyNumberFormat="1" applyFont="1" applyBorder="1" applyAlignment="1">
      <alignment horizontal="center" vertical="center"/>
    </xf>
    <xf numFmtId="164" fontId="0" fillId="0" borderId="24" xfId="0" applyNumberFormat="1" applyFont="1" applyBorder="1" applyAlignment="1">
      <alignment horizontal="center" vertical="center"/>
    </xf>
    <xf numFmtId="0" fontId="21" fillId="4" borderId="14" xfId="0" applyFont="1" applyFill="1" applyBorder="1" applyAlignment="1">
      <alignment horizontal="center" vertical="center"/>
    </xf>
    <xf numFmtId="167" fontId="19" fillId="0" borderId="16" xfId="0" applyNumberFormat="1" applyFont="1" applyBorder="1" applyAlignment="1">
      <alignment horizontal="center" vertical="center"/>
    </xf>
    <xf numFmtId="168" fontId="22" fillId="4" borderId="16" xfId="0" applyNumberFormat="1" applyFont="1" applyFill="1" applyBorder="1" applyAlignment="1">
      <alignment horizontal="center" vertical="center"/>
    </xf>
    <xf numFmtId="164" fontId="0" fillId="0" borderId="25" xfId="0" applyNumberFormat="1" applyFont="1" applyBorder="1" applyAlignment="1">
      <alignment horizontal="center" vertical="center"/>
    </xf>
    <xf numFmtId="167" fontId="19" fillId="6" borderId="18" xfId="0" applyNumberFormat="1" applyFont="1" applyFill="1" applyBorder="1" applyAlignment="1">
      <alignment horizontal="center" vertical="center"/>
    </xf>
    <xf numFmtId="164" fontId="8" fillId="6" borderId="26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167" fontId="19" fillId="6" borderId="8" xfId="0" applyNumberFormat="1" applyFont="1" applyFill="1" applyBorder="1" applyAlignment="1">
      <alignment horizontal="center" vertical="center"/>
    </xf>
    <xf numFmtId="168" fontId="22" fillId="6" borderId="8" xfId="0" applyNumberFormat="1" applyFont="1" applyFill="1" applyBorder="1" applyAlignment="1">
      <alignment horizontal="center" vertical="center"/>
    </xf>
    <xf numFmtId="164" fontId="0" fillId="6" borderId="22" xfId="0" applyNumberFormat="1" applyFont="1" applyFill="1" applyBorder="1" applyAlignment="1">
      <alignment horizontal="center" vertical="center"/>
    </xf>
    <xf numFmtId="168" fontId="23" fillId="6" borderId="8" xfId="0" applyNumberFormat="1" applyFont="1" applyFill="1" applyBorder="1" applyAlignment="1">
      <alignment horizontal="center" vertical="center"/>
    </xf>
    <xf numFmtId="168" fontId="22" fillId="6" borderId="11" xfId="0" applyNumberFormat="1" applyFont="1" applyFill="1" applyBorder="1" applyAlignment="1">
      <alignment horizontal="center" vertical="center"/>
    </xf>
    <xf numFmtId="164" fontId="0" fillId="6" borderId="23" xfId="0" applyNumberFormat="1" applyFont="1" applyFill="1" applyBorder="1" applyAlignment="1">
      <alignment horizontal="center" vertical="center"/>
    </xf>
    <xf numFmtId="167" fontId="14" fillId="0" borderId="0" xfId="0" applyNumberFormat="1" applyFont="1" applyFill="1" applyAlignment="1">
      <alignment horizontal="center" vertical="center"/>
    </xf>
    <xf numFmtId="167" fontId="19" fillId="0" borderId="11" xfId="0" applyNumberFormat="1" applyFont="1" applyFill="1" applyBorder="1" applyAlignment="1">
      <alignment horizontal="center" vertical="center"/>
    </xf>
    <xf numFmtId="167" fontId="0" fillId="7" borderId="11" xfId="0" applyNumberFormat="1" applyFont="1" applyFill="1" applyBorder="1" applyAlignment="1">
      <alignment horizontal="center" vertical="center"/>
    </xf>
    <xf numFmtId="168" fontId="22" fillId="7" borderId="11" xfId="0" applyNumberFormat="1" applyFont="1" applyFill="1" applyBorder="1" applyAlignment="1">
      <alignment horizontal="center" vertical="center"/>
    </xf>
    <xf numFmtId="164" fontId="0" fillId="7" borderId="23" xfId="0" applyNumberFormat="1" applyFont="1" applyFill="1" applyBorder="1" applyAlignment="1">
      <alignment horizontal="center" vertical="center"/>
    </xf>
    <xf numFmtId="167" fontId="0" fillId="7" borderId="14" xfId="0" applyNumberFormat="1" applyFont="1" applyFill="1" applyBorder="1" applyAlignment="1">
      <alignment horizontal="center" vertical="center"/>
    </xf>
    <xf numFmtId="168" fontId="22" fillId="7" borderId="14" xfId="0" applyNumberFormat="1" applyFont="1" applyFill="1" applyBorder="1" applyAlignment="1">
      <alignment horizontal="center" vertical="center"/>
    </xf>
    <xf numFmtId="164" fontId="0" fillId="7" borderId="24" xfId="0" applyNumberFormat="1" applyFont="1" applyFill="1" applyBorder="1" applyAlignment="1">
      <alignment horizontal="center" vertical="center"/>
    </xf>
    <xf numFmtId="164" fontId="0" fillId="0" borderId="27" xfId="0" applyNumberFormat="1" applyFont="1" applyBorder="1" applyAlignment="1">
      <alignment horizontal="center" vertical="center"/>
    </xf>
    <xf numFmtId="164" fontId="0" fillId="0" borderId="21" xfId="0" applyNumberFormat="1" applyFont="1" applyFill="1" applyBorder="1" applyAlignment="1">
      <alignment horizontal="center" vertical="center"/>
    </xf>
    <xf numFmtId="0" fontId="10" fillId="0" borderId="0" xfId="0" applyFont="1"/>
    <xf numFmtId="0" fontId="0" fillId="0" borderId="7" xfId="0" quotePrefix="1" applyFont="1" applyFill="1" applyBorder="1" applyAlignment="1">
      <alignment horizontal="left" vertical="center"/>
    </xf>
    <xf numFmtId="0" fontId="0" fillId="0" borderId="8" xfId="0" quotePrefix="1" applyFont="1" applyFill="1" applyBorder="1" applyAlignment="1">
      <alignment horizontal="center" vertical="center"/>
    </xf>
    <xf numFmtId="0" fontId="0" fillId="4" borderId="8" xfId="0" quotePrefix="1" applyFont="1" applyFill="1" applyBorder="1" applyAlignment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0" fillId="0" borderId="10" xfId="0" quotePrefix="1" applyFont="1" applyFill="1" applyBorder="1" applyAlignment="1">
      <alignment horizontal="left" vertical="center"/>
    </xf>
    <xf numFmtId="0" fontId="0" fillId="4" borderId="11" xfId="0" quotePrefix="1" applyFont="1" applyFill="1" applyBorder="1" applyAlignment="1">
      <alignment horizontal="center" vertical="center"/>
    </xf>
    <xf numFmtId="0" fontId="0" fillId="0" borderId="11" xfId="0" quotePrefix="1" applyFont="1" applyFill="1" applyBorder="1" applyAlignment="1">
      <alignment horizontal="center" vertical="center"/>
    </xf>
    <xf numFmtId="0" fontId="7" fillId="4" borderId="11" xfId="0" quotePrefix="1" applyFont="1" applyFill="1" applyBorder="1" applyAlignment="1">
      <alignment horizontal="center" vertical="center"/>
    </xf>
    <xf numFmtId="0" fontId="6" fillId="4" borderId="11" xfId="0" quotePrefix="1" applyFont="1" applyFill="1" applyBorder="1" applyAlignment="1">
      <alignment horizontal="center" vertical="center"/>
    </xf>
    <xf numFmtId="0" fontId="0" fillId="0" borderId="10" xfId="0" quotePrefix="1" applyFont="1" applyBorder="1" applyAlignment="1">
      <alignment horizontal="left" vertical="center"/>
    </xf>
    <xf numFmtId="0" fontId="0" fillId="0" borderId="11" xfId="0" quotePrefix="1" applyFont="1" applyBorder="1" applyAlignment="1">
      <alignment horizontal="center" vertical="center"/>
    </xf>
    <xf numFmtId="0" fontId="7" fillId="0" borderId="11" xfId="0" quotePrefix="1" applyFont="1" applyBorder="1" applyAlignment="1">
      <alignment horizontal="center" vertical="center"/>
    </xf>
    <xf numFmtId="0" fontId="13" fillId="0" borderId="11" xfId="1" quotePrefix="1" applyFont="1" applyBorder="1" applyAlignment="1">
      <alignment horizontal="center" vertical="center"/>
    </xf>
    <xf numFmtId="0" fontId="13" fillId="0" borderId="11" xfId="1" quotePrefix="1" applyFont="1" applyFill="1" applyBorder="1" applyAlignment="1">
      <alignment horizontal="center" vertical="center"/>
    </xf>
    <xf numFmtId="0" fontId="0" fillId="0" borderId="13" xfId="0" quotePrefix="1" applyFont="1" applyBorder="1" applyAlignment="1">
      <alignment horizontal="left" vertical="center"/>
    </xf>
    <xf numFmtId="0" fontId="0" fillId="4" borderId="14" xfId="0" quotePrefix="1" applyFont="1" applyFill="1" applyBorder="1" applyAlignment="1">
      <alignment horizontal="center" vertical="center"/>
    </xf>
    <xf numFmtId="0" fontId="0" fillId="0" borderId="14" xfId="0" quotePrefix="1" applyFont="1" applyBorder="1" applyAlignment="1">
      <alignment horizontal="center" vertical="center"/>
    </xf>
    <xf numFmtId="0" fontId="7" fillId="0" borderId="14" xfId="0" quotePrefix="1" applyFont="1" applyBorder="1" applyAlignment="1">
      <alignment horizontal="center" vertical="center"/>
    </xf>
    <xf numFmtId="0" fontId="7" fillId="4" borderId="14" xfId="0" quotePrefix="1" applyFont="1" applyFill="1" applyBorder="1" applyAlignment="1">
      <alignment horizontal="center" vertical="center"/>
    </xf>
    <xf numFmtId="0" fontId="13" fillId="0" borderId="14" xfId="1" quotePrefix="1" applyFont="1" applyBorder="1" applyAlignment="1">
      <alignment horizontal="center" vertical="center"/>
    </xf>
    <xf numFmtId="0" fontId="0" fillId="0" borderId="7" xfId="0" quotePrefix="1" applyFont="1" applyBorder="1" applyAlignment="1">
      <alignment horizontal="left" vertical="center"/>
    </xf>
    <xf numFmtId="0" fontId="0" fillId="0" borderId="8" xfId="0" quotePrefix="1" applyFont="1" applyBorder="1" applyAlignment="1">
      <alignment horizontal="center" vertical="center"/>
    </xf>
    <xf numFmtId="0" fontId="7" fillId="0" borderId="8" xfId="0" quotePrefix="1" applyFont="1" applyBorder="1" applyAlignment="1">
      <alignment horizontal="center" vertical="center"/>
    </xf>
    <xf numFmtId="0" fontId="13" fillId="0" borderId="8" xfId="1" quotePrefix="1" applyFont="1" applyBorder="1" applyAlignment="1">
      <alignment horizontal="center" vertical="center"/>
    </xf>
    <xf numFmtId="0" fontId="0" fillId="4" borderId="15" xfId="0" quotePrefix="1" applyFont="1" applyFill="1" applyBorder="1" applyAlignment="1">
      <alignment horizontal="left" vertical="center"/>
    </xf>
    <xf numFmtId="0" fontId="0" fillId="4" borderId="16" xfId="0" quotePrefix="1" applyFont="1" applyFill="1" applyBorder="1" applyAlignment="1">
      <alignment horizontal="center" vertical="center"/>
    </xf>
    <xf numFmtId="0" fontId="7" fillId="4" borderId="16" xfId="0" quotePrefix="1" applyFont="1" applyFill="1" applyBorder="1" applyAlignment="1">
      <alignment horizontal="center" vertical="center"/>
    </xf>
    <xf numFmtId="0" fontId="11" fillId="4" borderId="16" xfId="1" quotePrefix="1" applyFill="1" applyBorder="1" applyAlignment="1">
      <alignment horizontal="center" vertical="center"/>
    </xf>
    <xf numFmtId="0" fontId="8" fillId="6" borderId="17" xfId="0" quotePrefix="1" applyFont="1" applyFill="1" applyBorder="1" applyAlignment="1">
      <alignment horizontal="left" vertical="center"/>
    </xf>
    <xf numFmtId="0" fontId="8" fillId="6" borderId="18" xfId="0" quotePrefix="1" applyFont="1" applyFill="1" applyBorder="1" applyAlignment="1">
      <alignment horizontal="center" vertical="center"/>
    </xf>
    <xf numFmtId="0" fontId="0" fillId="4" borderId="7" xfId="0" quotePrefix="1" applyFont="1" applyFill="1" applyBorder="1" applyAlignment="1">
      <alignment horizontal="left" vertical="center"/>
    </xf>
    <xf numFmtId="0" fontId="13" fillId="4" borderId="8" xfId="1" quotePrefix="1" applyFont="1" applyFill="1" applyBorder="1" applyAlignment="1">
      <alignment horizontal="center" vertical="center"/>
    </xf>
    <xf numFmtId="0" fontId="0" fillId="4" borderId="10" xfId="0" quotePrefix="1" applyFont="1" applyFill="1" applyBorder="1" applyAlignment="1">
      <alignment horizontal="left" vertical="center"/>
    </xf>
    <xf numFmtId="0" fontId="13" fillId="4" borderId="11" xfId="1" quotePrefix="1" applyFont="1" applyFill="1" applyBorder="1" applyAlignment="1">
      <alignment horizontal="center" vertical="center"/>
    </xf>
    <xf numFmtId="0" fontId="0" fillId="4" borderId="13" xfId="0" quotePrefix="1" applyFont="1" applyFill="1" applyBorder="1" applyAlignment="1">
      <alignment horizontal="left" vertical="center"/>
    </xf>
    <xf numFmtId="0" fontId="0" fillId="6" borderId="7" xfId="0" quotePrefix="1" applyFont="1" applyFill="1" applyBorder="1" applyAlignment="1">
      <alignment horizontal="left" vertical="center"/>
    </xf>
    <xf numFmtId="0" fontId="0" fillId="6" borderId="8" xfId="0" quotePrefix="1" applyFont="1" applyFill="1" applyBorder="1" applyAlignment="1">
      <alignment horizontal="center" vertical="center"/>
    </xf>
    <xf numFmtId="0" fontId="7" fillId="6" borderId="8" xfId="0" quotePrefix="1" applyFont="1" applyFill="1" applyBorder="1" applyAlignment="1">
      <alignment horizontal="center" vertical="center"/>
    </xf>
    <xf numFmtId="0" fontId="13" fillId="4" borderId="14" xfId="1" quotePrefix="1" applyFont="1" applyFill="1" applyBorder="1" applyAlignment="1">
      <alignment horizontal="center" vertical="center"/>
    </xf>
    <xf numFmtId="0" fontId="0" fillId="6" borderId="10" xfId="0" quotePrefix="1" applyFont="1" applyFill="1" applyBorder="1" applyAlignment="1">
      <alignment horizontal="left" vertical="center"/>
    </xf>
    <xf numFmtId="0" fontId="0" fillId="6" borderId="11" xfId="0" quotePrefix="1" applyFont="1" applyFill="1" applyBorder="1" applyAlignment="1">
      <alignment horizontal="center" vertical="center"/>
    </xf>
    <xf numFmtId="0" fontId="7" fillId="6" borderId="11" xfId="0" quotePrefix="1" applyFont="1" applyFill="1" applyBorder="1" applyAlignment="1">
      <alignment horizontal="center" vertical="center"/>
    </xf>
    <xf numFmtId="0" fontId="11" fillId="4" borderId="11" xfId="1" quotePrefix="1" applyFont="1" applyFill="1" applyBorder="1" applyAlignment="1">
      <alignment horizontal="center" vertical="center"/>
    </xf>
    <xf numFmtId="0" fontId="9" fillId="7" borderId="10" xfId="0" quotePrefix="1" applyFont="1" applyFill="1" applyBorder="1" applyAlignment="1">
      <alignment horizontal="left" vertical="center"/>
    </xf>
    <xf numFmtId="0" fontId="9" fillId="7" borderId="11" xfId="0" quotePrefix="1" applyFont="1" applyFill="1" applyBorder="1" applyAlignment="1">
      <alignment horizontal="center" vertical="center"/>
    </xf>
    <xf numFmtId="0" fontId="9" fillId="7" borderId="13" xfId="0" quotePrefix="1" applyFont="1" applyFill="1" applyBorder="1" applyAlignment="1">
      <alignment horizontal="left" vertical="center"/>
    </xf>
    <xf numFmtId="0" fontId="9" fillId="7" borderId="14" xfId="0" quotePrefix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20" fillId="0" borderId="20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1" xfId="0" quotePrefix="1" applyBorder="1" applyAlignment="1">
      <alignment vertical="center" wrapText="1"/>
    </xf>
    <xf numFmtId="0" fontId="0" fillId="0" borderId="11" xfId="0" quotePrefix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hip-Resistor-Surface-Mount_YAGEO-AC0603JR-0710KL_C140867.html" TargetMode="External"/><Relationship Id="rId13" Type="http://schemas.openxmlformats.org/officeDocument/2006/relationships/hyperlink" Target="https://www.lcsc.com/product-detail/Chip-Resistor-Surface-Mount_YAGEO-RC0603FR-0749K9L_C114624.html" TargetMode="External"/><Relationship Id="rId18" Type="http://schemas.openxmlformats.org/officeDocument/2006/relationships/hyperlink" Target="https://www.lcsc.com/product-detail/Multilayer-Ceramic-Capacitors-MLCC-SMD-SMT_Taiyo-Yuden-UMK107BBJ225KA-T_C268016.html" TargetMode="External"/><Relationship Id="rId26" Type="http://schemas.openxmlformats.org/officeDocument/2006/relationships/hyperlink" Target="https://lcsc.com/product-detail/MOSFETs_Infineon-Technologies-IRLML2502TRPBF_C2589.html" TargetMode="External"/><Relationship Id="rId3" Type="http://schemas.openxmlformats.org/officeDocument/2006/relationships/hyperlink" Target="https://www.lcsc.com/product-detail/Aluminum-Electrolytic-Capacitors-SMD_Honor-Elec-RVT1E100M0405_C3343.html" TargetMode="External"/><Relationship Id="rId21" Type="http://schemas.openxmlformats.org/officeDocument/2006/relationships/hyperlink" Target="https://lcsc.com/product-detail/Multilayer-Ceramic-Capacitors-MLCC-SMD-SMT_YAGEO-CC0603KRX7R0BB104_C113803.html" TargetMode="External"/><Relationship Id="rId7" Type="http://schemas.openxmlformats.org/officeDocument/2006/relationships/hyperlink" Target="https://www.lcsc.com/product-detail/Schottky-Barrier-Diodes-SBD_Tak-Cheong-MSK4010_C968723.html" TargetMode="External"/><Relationship Id="rId12" Type="http://schemas.openxmlformats.org/officeDocument/2006/relationships/hyperlink" Target="https://www.lcsc.com/product-detail/Chip-Resistor-Surface-Mount_UNI-ROYAL-Uniroyal-Elec-0805W8F9001T5E_C247026.html" TargetMode="External"/><Relationship Id="rId17" Type="http://schemas.openxmlformats.org/officeDocument/2006/relationships/hyperlink" Target="https://www.lcsc.com/product-detail/Multilayer-Ceramic-Capacitors-MLCC-SMD-SMT_Samsung-Electro-Mechanics-CL10B223KB8NNNC_C21122.html" TargetMode="External"/><Relationship Id="rId25" Type="http://schemas.openxmlformats.org/officeDocument/2006/relationships/hyperlink" Target="https://tr.aliexpress.com/item/32727363517.html?spm=a2g0o.productlist.0.0.713a752dLtqKvq&amp;algo_pvid=75a9fd63-31f4-4f03-9ae6-e55dd07e6d7f&amp;algo_exp_id=75a9fd63-31f4-4f03-9ae6-e55dd07e6d7f-2&amp;pdp_ext_f=%7B%22sku_id%22%3A%2261240561970%22%7D" TargetMode="External"/><Relationship Id="rId2" Type="http://schemas.openxmlformats.org/officeDocument/2006/relationships/hyperlink" Target="https://www.lcsc.com/product-detail/Aluminum-Electrolytic-Capacitors-SMD_Ymin-VKMD1001J101MV_C487384.html" TargetMode="External"/><Relationship Id="rId16" Type="http://schemas.openxmlformats.org/officeDocument/2006/relationships/hyperlink" Target="https://www.lcsc.com/product-detail/Pin-Headers_TE-Connectivity-826629-2_C86471.html" TargetMode="External"/><Relationship Id="rId20" Type="http://schemas.openxmlformats.org/officeDocument/2006/relationships/hyperlink" Target="https://www.alibaba.com/product-detail/IC-STEPPER-MOTOR-DRIVER-RoHS-TMC2202_1600143313562.html?spm=a2700.galleryofferlist.normal_offer.d_title.1b6e460eVRgoNU" TargetMode="External"/><Relationship Id="rId1" Type="http://schemas.openxmlformats.org/officeDocument/2006/relationships/hyperlink" Target="https://www.lcsc.com/product-detail/Aluminum-Electrolytic-Capacitors-SMD_Ymin-VKMB1001E101MV_C487322.html" TargetMode="External"/><Relationship Id="rId6" Type="http://schemas.openxmlformats.org/officeDocument/2006/relationships/hyperlink" Target="https://www.lcsc.com/product-detail/Schottky-Barrier-Diodes-SBD_Nexperia-PMEG3030EP-115_C255587.html" TargetMode="External"/><Relationship Id="rId11" Type="http://schemas.openxmlformats.org/officeDocument/2006/relationships/hyperlink" Target="https://www.lcsc.com/product-detail/Chip-Resistor-Surface-Mount_RALEC-RTT25R18JTE_C159165.html" TargetMode="External"/><Relationship Id="rId24" Type="http://schemas.openxmlformats.org/officeDocument/2006/relationships/hyperlink" Target="https://tr.aliexpress.com/item/32814431059.html" TargetMode="External"/><Relationship Id="rId5" Type="http://schemas.openxmlformats.org/officeDocument/2006/relationships/hyperlink" Target="https://www.lcsc.com/product-detail/Multilayer-Ceramic-Capacitors-MLCC-SMD-SMT_YAGEO-CC1206KKX7RDBB102_C23631.html" TargetMode="External"/><Relationship Id="rId15" Type="http://schemas.openxmlformats.org/officeDocument/2006/relationships/hyperlink" Target="https://www.lcsc.com/product-detail/Linear-Voltage-Regulators-LDO_Diodes-Incorporated-AZ1117CH-3-3TRG1_C92102.html" TargetMode="External"/><Relationship Id="rId23" Type="http://schemas.openxmlformats.org/officeDocument/2006/relationships/hyperlink" Target="https://lcsc.com/product-detail/Multilayer-Ceramic-Capacitors-MLCC-SMD-SMT_PSA-Prosperity-Dielectrics-FN18N100J500PSG_C525235.html" TargetMode="External"/><Relationship Id="rId10" Type="http://schemas.openxmlformats.org/officeDocument/2006/relationships/hyperlink" Target="https://www.lcsc.com/product-detail/Chip-Resistor-Surface-Mount_YAGEO-RC0603FR-071KL_C22548.html" TargetMode="External"/><Relationship Id="rId19" Type="http://schemas.openxmlformats.org/officeDocument/2006/relationships/hyperlink" Target="https://www.lcsc.com/product-detail/Chip-span-style-background-color-ff0-Resistor-span-Surface-Mount_YAGEO-RL2512FK-070R075L_C705611.html" TargetMode="External"/><Relationship Id="rId4" Type="http://schemas.openxmlformats.org/officeDocument/2006/relationships/hyperlink" Target="https://www.lcsc.com/product-detail/Tantalum-Capacitors_CEC-Shenzhen-Zhenhua-XinYun-Elec-CA45A-A-10V-22uF-K_C141745.html" TargetMode="External"/><Relationship Id="rId9" Type="http://schemas.openxmlformats.org/officeDocument/2006/relationships/hyperlink" Target="https://www.lcsc.com/product-detail/Chip-Resistor-Surface-Mount_YAGEO-RC0603JR-07330RL_C105879.html" TargetMode="External"/><Relationship Id="rId14" Type="http://schemas.openxmlformats.org/officeDocument/2006/relationships/hyperlink" Target="https://www.lcsc.com/product-detail/DC-DC-Converters_XLSEMI-XL4001E1_C73347.html" TargetMode="External"/><Relationship Id="rId22" Type="http://schemas.openxmlformats.org/officeDocument/2006/relationships/hyperlink" Target="https://lcsc.com/product-detail/old-batch_Murata-Electronics-GCM21BC72A105KE36L_C2842838.html" TargetMode="External"/><Relationship Id="rId27" Type="http://schemas.openxmlformats.org/officeDocument/2006/relationships/hyperlink" Target="https://lcsc.com/product-detail/Pin-Headers_BOOMELE-Boom-Precision-Elec-C37208_C3720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0"/>
  <sheetViews>
    <sheetView tabSelected="1" topLeftCell="D1" zoomScale="85" zoomScaleNormal="85" workbookViewId="0">
      <selection activeCell="F10" sqref="F10"/>
    </sheetView>
  </sheetViews>
  <sheetFormatPr defaultColWidth="9" defaultRowHeight="15"/>
  <cols>
    <col min="1" max="1" width="6.140625" style="2" customWidth="1"/>
    <col min="2" max="2" width="14.42578125" customWidth="1"/>
    <col min="3" max="3" width="62.140625" customWidth="1"/>
    <col min="4" max="4" width="34.7109375" customWidth="1"/>
    <col min="5" max="5" width="21" customWidth="1"/>
    <col min="6" max="6" width="29" customWidth="1"/>
    <col min="7" max="7" width="26.28515625" customWidth="1"/>
    <col min="8" max="8" width="15.28515625" style="2" customWidth="1"/>
    <col min="9" max="9" width="21.5703125" customWidth="1"/>
    <col min="10" max="10" width="7" customWidth="1"/>
    <col min="11" max="11" width="11.5703125" customWidth="1"/>
    <col min="12" max="12" width="21.85546875" customWidth="1"/>
    <col min="13" max="13" width="14.140625" customWidth="1"/>
    <col min="14" max="14" width="16.28515625" customWidth="1"/>
    <col min="15" max="15" width="12.7109375" customWidth="1"/>
    <col min="16" max="17" width="14.28515625" customWidth="1"/>
    <col min="18" max="18" width="13.42578125" customWidth="1"/>
    <col min="19" max="19" width="14.140625" customWidth="1"/>
    <col min="20" max="20" width="50.7109375" customWidth="1"/>
  </cols>
  <sheetData>
    <row r="1" spans="1:36" ht="15.75">
      <c r="A1" s="157" t="s">
        <v>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9"/>
    </row>
    <row r="2" spans="1:36" s="1" customFormat="1" ht="15.75">
      <c r="A2" s="3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37" t="s">
        <v>14</v>
      </c>
      <c r="O2" s="38" t="s">
        <v>15</v>
      </c>
      <c r="P2" s="38" t="s">
        <v>16</v>
      </c>
      <c r="Q2" s="38" t="s">
        <v>17</v>
      </c>
      <c r="R2" s="4" t="s">
        <v>18</v>
      </c>
      <c r="S2" s="4" t="s">
        <v>19</v>
      </c>
      <c r="T2" s="4" t="s">
        <v>20</v>
      </c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>
      <c r="A3" s="6">
        <v>1</v>
      </c>
      <c r="B3" s="162" t="s">
        <v>21</v>
      </c>
      <c r="C3" s="110" t="s">
        <v>22</v>
      </c>
      <c r="D3" s="8" t="s">
        <v>23</v>
      </c>
      <c r="E3" s="111" t="s">
        <v>24</v>
      </c>
      <c r="F3" s="112" t="s">
        <v>25</v>
      </c>
      <c r="G3" s="111" t="s">
        <v>26</v>
      </c>
      <c r="H3" s="11" t="s">
        <v>27</v>
      </c>
      <c r="I3" s="113" t="s">
        <v>28</v>
      </c>
      <c r="J3" s="111" t="s">
        <v>29</v>
      </c>
      <c r="K3" s="24">
        <v>50</v>
      </c>
      <c r="L3" s="9">
        <v>4</v>
      </c>
      <c r="M3" s="24">
        <f>L3*5</f>
        <v>20</v>
      </c>
      <c r="N3" s="39" t="s">
        <v>30</v>
      </c>
      <c r="O3" s="40">
        <v>8.2000000000000007E-3</v>
      </c>
      <c r="P3" s="40">
        <f>O3*L3</f>
        <v>3.2800000000000003E-2</v>
      </c>
      <c r="Q3" s="40">
        <v>8.2000000000000007E-3</v>
      </c>
      <c r="R3" s="76">
        <f>Q3*K3</f>
        <v>0.41000000000000003</v>
      </c>
      <c r="S3" s="24"/>
      <c r="T3" s="77"/>
    </row>
    <row r="4" spans="1:36">
      <c r="A4" s="6">
        <v>2</v>
      </c>
      <c r="B4" s="163"/>
      <c r="C4" s="114" t="s">
        <v>31</v>
      </c>
      <c r="D4" s="115" t="s">
        <v>32</v>
      </c>
      <c r="E4" s="116" t="s">
        <v>33</v>
      </c>
      <c r="F4" s="115" t="s">
        <v>34</v>
      </c>
      <c r="G4" s="116" t="s">
        <v>35</v>
      </c>
      <c r="H4" s="15" t="s">
        <v>36</v>
      </c>
      <c r="I4" s="117" t="s">
        <v>28</v>
      </c>
      <c r="J4" s="116" t="s">
        <v>37</v>
      </c>
      <c r="K4" s="17">
        <v>10</v>
      </c>
      <c r="L4" s="14">
        <v>1</v>
      </c>
      <c r="M4" s="17">
        <f t="shared" ref="M4:M33" si="0">L4*5</f>
        <v>5</v>
      </c>
      <c r="N4" s="41" t="s">
        <v>30</v>
      </c>
      <c r="O4" s="42">
        <v>6.8199999999999997E-2</v>
      </c>
      <c r="P4" s="42">
        <f t="shared" ref="P4:P31" si="1">O4*L4</f>
        <v>6.8199999999999997E-2</v>
      </c>
      <c r="Q4" s="42">
        <v>6.8199999999999997E-2</v>
      </c>
      <c r="R4" s="78">
        <f t="shared" ref="R4:R31" si="2">Q4*K4</f>
        <v>0.68199999999999994</v>
      </c>
      <c r="S4" s="17"/>
      <c r="T4" s="79"/>
    </row>
    <row r="5" spans="1:36">
      <c r="A5" s="6">
        <v>3</v>
      </c>
      <c r="B5" s="163"/>
      <c r="C5" s="114" t="s">
        <v>38</v>
      </c>
      <c r="D5" s="115" t="s">
        <v>39</v>
      </c>
      <c r="E5" s="116" t="s">
        <v>24</v>
      </c>
      <c r="F5" s="118" t="s">
        <v>40</v>
      </c>
      <c r="G5" s="116" t="s">
        <v>41</v>
      </c>
      <c r="H5" s="16" t="s">
        <v>42</v>
      </c>
      <c r="I5" s="16" t="s">
        <v>43</v>
      </c>
      <c r="J5" s="116" t="s">
        <v>44</v>
      </c>
      <c r="K5" s="17">
        <v>100</v>
      </c>
      <c r="L5" s="14">
        <v>8</v>
      </c>
      <c r="M5" s="17">
        <f t="shared" si="0"/>
        <v>40</v>
      </c>
      <c r="N5" s="43" t="s">
        <v>30</v>
      </c>
      <c r="O5" s="42">
        <v>3.0999999999999999E-3</v>
      </c>
      <c r="P5" s="42">
        <f t="shared" si="1"/>
        <v>2.4799999999999999E-2</v>
      </c>
      <c r="Q5" s="42">
        <v>3.0999999999999999E-3</v>
      </c>
      <c r="R5" s="78">
        <f t="shared" si="2"/>
        <v>0.31</v>
      </c>
      <c r="S5" s="17"/>
      <c r="T5" s="79"/>
    </row>
    <row r="6" spans="1:36">
      <c r="A6" s="6">
        <v>4</v>
      </c>
      <c r="B6" s="163"/>
      <c r="C6" s="119" t="s">
        <v>45</v>
      </c>
      <c r="D6" s="115" t="s">
        <v>46</v>
      </c>
      <c r="E6" s="120" t="s">
        <v>24</v>
      </c>
      <c r="F6" s="118" t="s">
        <v>47</v>
      </c>
      <c r="G6" s="121" t="s">
        <v>48</v>
      </c>
      <c r="H6" s="19" t="s">
        <v>49</v>
      </c>
      <c r="I6" s="115" t="s">
        <v>50</v>
      </c>
      <c r="J6" s="120" t="s">
        <v>51</v>
      </c>
      <c r="K6" s="17">
        <v>50</v>
      </c>
      <c r="L6" s="18">
        <v>3</v>
      </c>
      <c r="M6" s="17">
        <f t="shared" si="0"/>
        <v>15</v>
      </c>
      <c r="N6" s="122" t="s">
        <v>30</v>
      </c>
      <c r="O6" s="42">
        <v>5.3E-3</v>
      </c>
      <c r="P6" s="42">
        <f t="shared" si="1"/>
        <v>1.5900000000000001E-2</v>
      </c>
      <c r="Q6" s="42">
        <v>5.3E-3</v>
      </c>
      <c r="R6" s="78">
        <f t="shared" si="2"/>
        <v>0.26500000000000001</v>
      </c>
      <c r="S6" s="17"/>
      <c r="T6" s="79"/>
    </row>
    <row r="7" spans="1:36">
      <c r="A7" s="6">
        <v>5</v>
      </c>
      <c r="B7" s="163"/>
      <c r="C7" s="119" t="s">
        <v>52</v>
      </c>
      <c r="D7" s="115" t="s">
        <v>53</v>
      </c>
      <c r="E7" s="120" t="s">
        <v>24</v>
      </c>
      <c r="F7" s="118" t="s">
        <v>54</v>
      </c>
      <c r="G7" s="121" t="s">
        <v>55</v>
      </c>
      <c r="H7" s="19" t="s">
        <v>56</v>
      </c>
      <c r="I7" s="19" t="s">
        <v>57</v>
      </c>
      <c r="J7" s="120" t="s">
        <v>58</v>
      </c>
      <c r="K7" s="17">
        <v>10</v>
      </c>
      <c r="L7" s="18">
        <v>1</v>
      </c>
      <c r="M7" s="17">
        <f t="shared" si="0"/>
        <v>5</v>
      </c>
      <c r="N7" s="122" t="s">
        <v>30</v>
      </c>
      <c r="O7" s="44">
        <v>4.0300000000000002E-2</v>
      </c>
      <c r="P7" s="42">
        <f t="shared" si="1"/>
        <v>4.0300000000000002E-2</v>
      </c>
      <c r="Q7" s="42">
        <v>4.0300000000000002E-2</v>
      </c>
      <c r="R7" s="78">
        <f t="shared" si="2"/>
        <v>0.40300000000000002</v>
      </c>
      <c r="S7" s="17"/>
      <c r="T7" s="79"/>
    </row>
    <row r="8" spans="1:36">
      <c r="A8" s="6">
        <v>6</v>
      </c>
      <c r="B8" s="163"/>
      <c r="C8" s="119" t="s">
        <v>59</v>
      </c>
      <c r="D8" s="115" t="s">
        <v>60</v>
      </c>
      <c r="E8" s="120" t="s">
        <v>61</v>
      </c>
      <c r="F8" s="115" t="s">
        <v>62</v>
      </c>
      <c r="G8" s="121" t="s">
        <v>63</v>
      </c>
      <c r="H8" s="19" t="s">
        <v>64</v>
      </c>
      <c r="I8" s="117" t="s">
        <v>28</v>
      </c>
      <c r="J8" s="120" t="s">
        <v>65</v>
      </c>
      <c r="K8" s="17">
        <v>10</v>
      </c>
      <c r="L8" s="45">
        <v>1</v>
      </c>
      <c r="M8" s="17">
        <f t="shared" si="0"/>
        <v>5</v>
      </c>
      <c r="N8" s="123" t="s">
        <v>30</v>
      </c>
      <c r="O8" s="46">
        <v>7.5899999999999995E-2</v>
      </c>
      <c r="P8" s="42">
        <f t="shared" si="1"/>
        <v>7.5899999999999995E-2</v>
      </c>
      <c r="Q8" s="42">
        <v>7.5899999999999995E-2</v>
      </c>
      <c r="R8" s="78">
        <f t="shared" si="2"/>
        <v>0.7589999999999999</v>
      </c>
      <c r="S8" s="80"/>
      <c r="T8" s="79"/>
    </row>
    <row r="9" spans="1:36">
      <c r="A9" s="6">
        <v>7</v>
      </c>
      <c r="B9" s="163"/>
      <c r="C9" s="119" t="s">
        <v>66</v>
      </c>
      <c r="D9" s="115" t="s">
        <v>67</v>
      </c>
      <c r="E9" s="120" t="s">
        <v>61</v>
      </c>
      <c r="F9" s="115" t="s">
        <v>68</v>
      </c>
      <c r="G9" s="121" t="s">
        <v>63</v>
      </c>
      <c r="H9" s="19" t="s">
        <v>69</v>
      </c>
      <c r="I9" s="117" t="s">
        <v>28</v>
      </c>
      <c r="J9" s="120" t="s">
        <v>65</v>
      </c>
      <c r="K9" s="17">
        <v>12</v>
      </c>
      <c r="L9" s="45">
        <v>2</v>
      </c>
      <c r="M9" s="17">
        <f t="shared" si="0"/>
        <v>10</v>
      </c>
      <c r="N9" s="123" t="s">
        <v>30</v>
      </c>
      <c r="O9" s="46">
        <v>0.18110000000000001</v>
      </c>
      <c r="P9" s="42">
        <f t="shared" si="1"/>
        <v>0.36220000000000002</v>
      </c>
      <c r="Q9" s="42">
        <v>0.18110000000000001</v>
      </c>
      <c r="R9" s="78">
        <f t="shared" si="2"/>
        <v>2.1732</v>
      </c>
      <c r="S9" s="80"/>
      <c r="T9" s="79"/>
      <c r="U9" s="81"/>
    </row>
    <row r="10" spans="1:36">
      <c r="A10" s="6">
        <v>8</v>
      </c>
      <c r="B10" s="163"/>
      <c r="C10" s="165" t="s">
        <v>212</v>
      </c>
      <c r="D10" s="115" t="s">
        <v>70</v>
      </c>
      <c r="E10" s="120" t="s">
        <v>61</v>
      </c>
      <c r="F10" s="166" t="s">
        <v>213</v>
      </c>
      <c r="G10" s="121" t="s">
        <v>71</v>
      </c>
      <c r="H10" s="19" t="s">
        <v>72</v>
      </c>
      <c r="I10" s="117" t="s">
        <v>28</v>
      </c>
      <c r="J10" s="120" t="s">
        <v>73</v>
      </c>
      <c r="K10" s="17">
        <v>20</v>
      </c>
      <c r="L10" s="18">
        <v>1</v>
      </c>
      <c r="M10" s="17">
        <f t="shared" si="0"/>
        <v>5</v>
      </c>
      <c r="N10" s="122" t="s">
        <v>30</v>
      </c>
      <c r="O10" s="42">
        <v>3.5200000000000002E-2</v>
      </c>
      <c r="P10" s="42">
        <f t="shared" si="1"/>
        <v>3.5200000000000002E-2</v>
      </c>
      <c r="Q10" s="42">
        <v>3.5200000000000002E-2</v>
      </c>
      <c r="R10" s="78">
        <f t="shared" si="2"/>
        <v>0.70400000000000007</v>
      </c>
      <c r="S10" s="17"/>
      <c r="T10" s="79"/>
      <c r="U10" s="81"/>
    </row>
    <row r="11" spans="1:36">
      <c r="A11" s="6">
        <v>9</v>
      </c>
      <c r="B11" s="163"/>
      <c r="C11" s="119" t="s">
        <v>74</v>
      </c>
      <c r="D11" s="115" t="s">
        <v>75</v>
      </c>
      <c r="E11" s="120" t="s">
        <v>76</v>
      </c>
      <c r="F11" s="115" t="s">
        <v>77</v>
      </c>
      <c r="G11" s="121" t="s">
        <v>78</v>
      </c>
      <c r="H11" s="19" t="s">
        <v>79</v>
      </c>
      <c r="I11" s="117" t="s">
        <v>28</v>
      </c>
      <c r="J11" s="120" t="s">
        <v>80</v>
      </c>
      <c r="K11" s="17">
        <v>10</v>
      </c>
      <c r="L11" s="18">
        <v>1</v>
      </c>
      <c r="M11" s="17">
        <f t="shared" si="0"/>
        <v>5</v>
      </c>
      <c r="N11" s="122" t="s">
        <v>30</v>
      </c>
      <c r="O11" s="42">
        <v>9.5799999999999996E-2</v>
      </c>
      <c r="P11" s="42">
        <f t="shared" si="1"/>
        <v>9.5799999999999996E-2</v>
      </c>
      <c r="Q11" s="42">
        <v>9.5799999999999996E-2</v>
      </c>
      <c r="R11" s="78">
        <f t="shared" si="2"/>
        <v>0.95799999999999996</v>
      </c>
      <c r="S11" s="82"/>
      <c r="T11" s="79"/>
      <c r="U11" s="83"/>
    </row>
    <row r="12" spans="1:36">
      <c r="A12" s="6">
        <v>10</v>
      </c>
      <c r="B12" s="164"/>
      <c r="C12" s="124" t="s">
        <v>81</v>
      </c>
      <c r="D12" s="125" t="s">
        <v>82</v>
      </c>
      <c r="E12" s="126" t="s">
        <v>83</v>
      </c>
      <c r="F12" s="125" t="s">
        <v>84</v>
      </c>
      <c r="G12" s="127" t="s">
        <v>85</v>
      </c>
      <c r="H12" s="23" t="s">
        <v>86</v>
      </c>
      <c r="I12" s="128" t="s">
        <v>28</v>
      </c>
      <c r="J12" s="126" t="s">
        <v>87</v>
      </c>
      <c r="K12" s="21">
        <v>50</v>
      </c>
      <c r="L12" s="22">
        <v>1</v>
      </c>
      <c r="M12" s="21">
        <f t="shared" si="0"/>
        <v>5</v>
      </c>
      <c r="N12" s="129" t="s">
        <v>30</v>
      </c>
      <c r="O12" s="47">
        <v>1.47E-2</v>
      </c>
      <c r="P12" s="47">
        <f t="shared" si="1"/>
        <v>1.47E-2</v>
      </c>
      <c r="Q12" s="47">
        <v>1.47E-2</v>
      </c>
      <c r="R12" s="84">
        <f t="shared" si="2"/>
        <v>0.73499999999999999</v>
      </c>
      <c r="S12" s="21"/>
      <c r="T12" s="85"/>
      <c r="U12" s="81"/>
    </row>
    <row r="13" spans="1:36">
      <c r="A13" s="6">
        <v>11</v>
      </c>
      <c r="B13" s="162" t="s">
        <v>88</v>
      </c>
      <c r="C13" s="130" t="s">
        <v>89</v>
      </c>
      <c r="D13" s="112" t="s">
        <v>90</v>
      </c>
      <c r="E13" s="131" t="s">
        <v>91</v>
      </c>
      <c r="F13" s="112" t="s">
        <v>92</v>
      </c>
      <c r="G13" s="131" t="s">
        <v>93</v>
      </c>
      <c r="H13" s="25" t="s">
        <v>94</v>
      </c>
      <c r="I13" s="113" t="s">
        <v>28</v>
      </c>
      <c r="J13" s="132" t="s">
        <v>95</v>
      </c>
      <c r="K13" s="24">
        <v>7</v>
      </c>
      <c r="L13" s="48">
        <v>1</v>
      </c>
      <c r="M13" s="24">
        <f t="shared" si="0"/>
        <v>5</v>
      </c>
      <c r="N13" s="133" t="s">
        <v>30</v>
      </c>
      <c r="O13" s="40">
        <v>0.31719999999999998</v>
      </c>
      <c r="P13" s="40">
        <f t="shared" si="1"/>
        <v>0.31719999999999998</v>
      </c>
      <c r="Q13" s="40">
        <v>0.31719999999999998</v>
      </c>
      <c r="R13" s="76">
        <f t="shared" si="2"/>
        <v>2.2203999999999997</v>
      </c>
      <c r="S13" s="24"/>
      <c r="T13" s="77"/>
      <c r="U13" s="81"/>
    </row>
    <row r="14" spans="1:36">
      <c r="A14" s="6">
        <v>12</v>
      </c>
      <c r="B14" s="164"/>
      <c r="C14" s="124" t="s">
        <v>96</v>
      </c>
      <c r="D14" s="125" t="s">
        <v>97</v>
      </c>
      <c r="E14" s="126" t="s">
        <v>98</v>
      </c>
      <c r="F14" s="125" t="s">
        <v>99</v>
      </c>
      <c r="G14" s="126" t="s">
        <v>100</v>
      </c>
      <c r="H14" s="128" t="s">
        <v>101</v>
      </c>
      <c r="I14" s="128" t="s">
        <v>28</v>
      </c>
      <c r="J14" s="127" t="s">
        <v>95</v>
      </c>
      <c r="K14" s="21">
        <v>20</v>
      </c>
      <c r="L14" s="49">
        <v>1</v>
      </c>
      <c r="M14" s="21">
        <f t="shared" si="0"/>
        <v>5</v>
      </c>
      <c r="N14" s="129" t="s">
        <v>30</v>
      </c>
      <c r="O14" s="50">
        <v>2.6599999999999999E-2</v>
      </c>
      <c r="P14" s="47">
        <f t="shared" si="1"/>
        <v>2.6599999999999999E-2</v>
      </c>
      <c r="Q14" s="47">
        <v>2.6599999999999999E-2</v>
      </c>
      <c r="R14" s="84">
        <f t="shared" si="2"/>
        <v>0.53200000000000003</v>
      </c>
      <c r="S14" s="86"/>
      <c r="T14" s="85"/>
      <c r="U14" s="81"/>
    </row>
    <row r="15" spans="1:36">
      <c r="A15" s="6">
        <v>13</v>
      </c>
      <c r="B15" s="12" t="s">
        <v>102</v>
      </c>
      <c r="C15" s="134" t="s">
        <v>103</v>
      </c>
      <c r="D15" s="135" t="s">
        <v>104</v>
      </c>
      <c r="E15" s="135" t="s">
        <v>105</v>
      </c>
      <c r="F15" s="135" t="s">
        <v>106</v>
      </c>
      <c r="G15" s="136" t="s">
        <v>107</v>
      </c>
      <c r="H15" s="136" t="s">
        <v>28</v>
      </c>
      <c r="I15" s="135" t="s">
        <v>28</v>
      </c>
      <c r="J15" s="136" t="s">
        <v>95</v>
      </c>
      <c r="K15" s="26">
        <v>7</v>
      </c>
      <c r="L15" s="26">
        <v>1</v>
      </c>
      <c r="M15" s="51">
        <f t="shared" si="0"/>
        <v>5</v>
      </c>
      <c r="N15" s="137" t="s">
        <v>30</v>
      </c>
      <c r="O15" s="52">
        <v>0.2127</v>
      </c>
      <c r="P15" s="53">
        <f t="shared" si="1"/>
        <v>0.2127</v>
      </c>
      <c r="Q15" s="53">
        <v>0.2127</v>
      </c>
      <c r="R15" s="87">
        <f t="shared" si="2"/>
        <v>1.4889000000000001</v>
      </c>
      <c r="S15" s="88"/>
      <c r="T15" s="89">
        <v>0.189</v>
      </c>
      <c r="U15" s="81"/>
    </row>
    <row r="16" spans="1:36">
      <c r="A16" s="6">
        <v>14</v>
      </c>
      <c r="B16" s="7" t="s">
        <v>108</v>
      </c>
      <c r="C16" s="138" t="s">
        <v>109</v>
      </c>
      <c r="D16" s="139" t="s">
        <v>110</v>
      </c>
      <c r="E16" s="139" t="s">
        <v>61</v>
      </c>
      <c r="F16" s="139" t="s">
        <v>111</v>
      </c>
      <c r="G16" s="139" t="s">
        <v>112</v>
      </c>
      <c r="H16" s="27"/>
      <c r="I16" s="27"/>
      <c r="J16" s="139" t="s">
        <v>95</v>
      </c>
      <c r="K16" s="27">
        <v>7</v>
      </c>
      <c r="L16" s="27">
        <v>1</v>
      </c>
      <c r="M16" s="54">
        <f t="shared" si="0"/>
        <v>5</v>
      </c>
      <c r="N16" s="55" t="s">
        <v>113</v>
      </c>
      <c r="O16" s="56">
        <v>0.97699999999999998</v>
      </c>
      <c r="P16" s="57">
        <f t="shared" si="1"/>
        <v>0.97699999999999998</v>
      </c>
      <c r="Q16" s="57">
        <v>0.97699999999999998</v>
      </c>
      <c r="R16" s="90">
        <f t="shared" si="2"/>
        <v>6.8389999999999995</v>
      </c>
      <c r="S16" s="27"/>
      <c r="T16" s="91">
        <v>2.54</v>
      </c>
      <c r="U16" s="81"/>
    </row>
    <row r="17" spans="1:21">
      <c r="A17" s="6">
        <v>15</v>
      </c>
      <c r="B17" s="162" t="s">
        <v>114</v>
      </c>
      <c r="C17" s="140" t="s">
        <v>115</v>
      </c>
      <c r="D17" s="112" t="s">
        <v>116</v>
      </c>
      <c r="E17" s="112" t="s">
        <v>117</v>
      </c>
      <c r="F17" s="112" t="s">
        <v>118</v>
      </c>
      <c r="G17" s="113" t="s">
        <v>85</v>
      </c>
      <c r="H17" s="25" t="s">
        <v>119</v>
      </c>
      <c r="I17" s="112" t="s">
        <v>28</v>
      </c>
      <c r="J17" s="112" t="s">
        <v>120</v>
      </c>
      <c r="K17" s="10">
        <v>100</v>
      </c>
      <c r="L17" s="10">
        <v>2</v>
      </c>
      <c r="M17" s="24">
        <f t="shared" si="0"/>
        <v>10</v>
      </c>
      <c r="N17" s="141" t="s">
        <v>30</v>
      </c>
      <c r="O17" s="58">
        <v>1.4E-3</v>
      </c>
      <c r="P17" s="40">
        <f t="shared" si="1"/>
        <v>2.8E-3</v>
      </c>
      <c r="Q17" s="40">
        <v>1.4E-3</v>
      </c>
      <c r="R17" s="76">
        <f t="shared" si="2"/>
        <v>0.13999999999999999</v>
      </c>
      <c r="S17" s="10"/>
      <c r="T17" s="77"/>
      <c r="U17" s="81"/>
    </row>
    <row r="18" spans="1:21">
      <c r="A18" s="6">
        <v>16</v>
      </c>
      <c r="B18" s="163"/>
      <c r="C18" s="142" t="s">
        <v>121</v>
      </c>
      <c r="D18" s="13" t="s">
        <v>122</v>
      </c>
      <c r="E18" s="115" t="s">
        <v>117</v>
      </c>
      <c r="F18" s="115" t="s">
        <v>123</v>
      </c>
      <c r="G18" s="117" t="s">
        <v>85</v>
      </c>
      <c r="H18" s="19" t="s">
        <v>124</v>
      </c>
      <c r="I18" s="115" t="s">
        <v>28</v>
      </c>
      <c r="J18" s="115" t="s">
        <v>125</v>
      </c>
      <c r="K18" s="13">
        <v>100</v>
      </c>
      <c r="L18" s="13">
        <v>2</v>
      </c>
      <c r="M18" s="17">
        <f t="shared" si="0"/>
        <v>10</v>
      </c>
      <c r="N18" s="143" t="s">
        <v>30</v>
      </c>
      <c r="O18" s="59">
        <v>1.4E-3</v>
      </c>
      <c r="P18" s="42">
        <f t="shared" si="1"/>
        <v>2.8E-3</v>
      </c>
      <c r="Q18" s="42">
        <v>1.4E-3</v>
      </c>
      <c r="R18" s="78">
        <f t="shared" si="2"/>
        <v>0.13999999999999999</v>
      </c>
      <c r="S18" s="13"/>
      <c r="T18" s="79"/>
      <c r="U18" s="81"/>
    </row>
    <row r="19" spans="1:21">
      <c r="A19" s="6">
        <v>17</v>
      </c>
      <c r="B19" s="163"/>
      <c r="C19" s="142" t="s">
        <v>126</v>
      </c>
      <c r="D19" s="13" t="s">
        <v>127</v>
      </c>
      <c r="E19" s="115" t="s">
        <v>117</v>
      </c>
      <c r="F19" s="115" t="s">
        <v>128</v>
      </c>
      <c r="G19" s="117" t="s">
        <v>85</v>
      </c>
      <c r="H19" s="19" t="s">
        <v>129</v>
      </c>
      <c r="I19" s="115" t="s">
        <v>28</v>
      </c>
      <c r="J19" s="115" t="s">
        <v>130</v>
      </c>
      <c r="K19" s="13">
        <v>100</v>
      </c>
      <c r="L19" s="13">
        <v>3</v>
      </c>
      <c r="M19" s="17">
        <f t="shared" si="0"/>
        <v>15</v>
      </c>
      <c r="N19" s="143" t="s">
        <v>30</v>
      </c>
      <c r="O19" s="59">
        <v>1.4E-3</v>
      </c>
      <c r="P19" s="42">
        <f t="shared" si="1"/>
        <v>4.1999999999999997E-3</v>
      </c>
      <c r="Q19" s="42">
        <v>1.4E-3</v>
      </c>
      <c r="R19" s="78">
        <f t="shared" si="2"/>
        <v>0.13999999999999999</v>
      </c>
      <c r="S19" s="13"/>
      <c r="T19" s="79"/>
      <c r="U19" s="81"/>
    </row>
    <row r="20" spans="1:21">
      <c r="A20" s="6">
        <v>18</v>
      </c>
      <c r="B20" s="163"/>
      <c r="C20" s="142" t="s">
        <v>131</v>
      </c>
      <c r="D20" s="115" t="s">
        <v>132</v>
      </c>
      <c r="E20" s="115" t="s">
        <v>133</v>
      </c>
      <c r="F20" s="115" t="s">
        <v>134</v>
      </c>
      <c r="G20" s="117" t="s">
        <v>135</v>
      </c>
      <c r="H20" s="19" t="s">
        <v>136</v>
      </c>
      <c r="I20" s="115" t="s">
        <v>28</v>
      </c>
      <c r="J20" s="115" t="s">
        <v>137</v>
      </c>
      <c r="K20" s="13">
        <v>20</v>
      </c>
      <c r="L20" s="13">
        <v>2</v>
      </c>
      <c r="M20" s="17">
        <f t="shared" si="0"/>
        <v>10</v>
      </c>
      <c r="N20" s="143" t="s">
        <v>30</v>
      </c>
      <c r="O20" s="60">
        <v>2.9499999999999998E-2</v>
      </c>
      <c r="P20" s="42">
        <f t="shared" si="1"/>
        <v>5.8999999999999997E-2</v>
      </c>
      <c r="Q20" s="42">
        <v>2.9499999999999998E-2</v>
      </c>
      <c r="R20" s="78">
        <f t="shared" si="2"/>
        <v>0.59</v>
      </c>
      <c r="S20" s="13"/>
      <c r="T20" s="79"/>
      <c r="U20" s="81"/>
    </row>
    <row r="21" spans="1:21">
      <c r="A21" s="6">
        <v>19</v>
      </c>
      <c r="B21" s="163"/>
      <c r="C21" s="142" t="s">
        <v>138</v>
      </c>
      <c r="D21" s="115" t="s">
        <v>139</v>
      </c>
      <c r="E21" s="115" t="s">
        <v>133</v>
      </c>
      <c r="F21" s="118" t="s">
        <v>140</v>
      </c>
      <c r="G21" s="117" t="s">
        <v>141</v>
      </c>
      <c r="H21" s="19" t="s">
        <v>142</v>
      </c>
      <c r="I21" s="117" t="s">
        <v>143</v>
      </c>
      <c r="J21" s="115" t="s">
        <v>144</v>
      </c>
      <c r="K21" s="13">
        <v>10</v>
      </c>
      <c r="L21" s="13">
        <v>1</v>
      </c>
      <c r="M21" s="17">
        <f t="shared" si="0"/>
        <v>5</v>
      </c>
      <c r="N21" s="143" t="s">
        <v>30</v>
      </c>
      <c r="O21" s="59">
        <v>0.1133</v>
      </c>
      <c r="P21" s="42">
        <f t="shared" si="1"/>
        <v>0.1133</v>
      </c>
      <c r="Q21" s="42">
        <v>0.1133</v>
      </c>
      <c r="R21" s="78">
        <f t="shared" si="2"/>
        <v>1.133</v>
      </c>
      <c r="S21" s="13"/>
      <c r="T21" s="79"/>
      <c r="U21" s="81"/>
    </row>
    <row r="22" spans="1:21">
      <c r="A22" s="6">
        <v>20</v>
      </c>
      <c r="B22" s="163"/>
      <c r="C22" s="142" t="s">
        <v>145</v>
      </c>
      <c r="D22" s="115" t="s">
        <v>146</v>
      </c>
      <c r="E22" s="115" t="s">
        <v>33</v>
      </c>
      <c r="F22" s="115" t="s">
        <v>147</v>
      </c>
      <c r="G22" s="117" t="s">
        <v>148</v>
      </c>
      <c r="H22" s="19" t="s">
        <v>149</v>
      </c>
      <c r="I22" s="115" t="s">
        <v>28</v>
      </c>
      <c r="J22" s="115" t="s">
        <v>150</v>
      </c>
      <c r="K22" s="13">
        <v>100</v>
      </c>
      <c r="L22" s="13">
        <v>1</v>
      </c>
      <c r="M22" s="17">
        <f t="shared" si="0"/>
        <v>5</v>
      </c>
      <c r="N22" s="143" t="s">
        <v>30</v>
      </c>
      <c r="O22" s="59">
        <v>2.8E-3</v>
      </c>
      <c r="P22" s="42">
        <f t="shared" si="1"/>
        <v>2.8E-3</v>
      </c>
      <c r="Q22" s="42">
        <v>2.8E-3</v>
      </c>
      <c r="R22" s="78">
        <f t="shared" si="2"/>
        <v>0.27999999999999997</v>
      </c>
      <c r="S22" s="13"/>
      <c r="T22" s="79"/>
      <c r="U22" s="81"/>
    </row>
    <row r="23" spans="1:21" s="1" customFormat="1">
      <c r="A23" s="6">
        <v>21</v>
      </c>
      <c r="B23" s="164"/>
      <c r="C23" s="144" t="s">
        <v>151</v>
      </c>
      <c r="D23" s="20" t="s">
        <v>152</v>
      </c>
      <c r="E23" s="125" t="s">
        <v>117</v>
      </c>
      <c r="F23" s="125" t="s">
        <v>153</v>
      </c>
      <c r="G23" s="128" t="s">
        <v>85</v>
      </c>
      <c r="H23" s="23" t="s">
        <v>154</v>
      </c>
      <c r="I23" s="125" t="s">
        <v>28</v>
      </c>
      <c r="J23" s="125" t="s">
        <v>155</v>
      </c>
      <c r="K23" s="20">
        <v>100</v>
      </c>
      <c r="L23" s="23">
        <v>8</v>
      </c>
      <c r="M23" s="21">
        <f t="shared" si="0"/>
        <v>40</v>
      </c>
      <c r="N23" s="61" t="s">
        <v>30</v>
      </c>
      <c r="O23" s="50">
        <v>1.8E-3</v>
      </c>
      <c r="P23" s="47">
        <f t="shared" si="1"/>
        <v>1.44E-2</v>
      </c>
      <c r="Q23" s="47">
        <v>1.8E-3</v>
      </c>
      <c r="R23" s="84">
        <f t="shared" si="2"/>
        <v>0.18</v>
      </c>
      <c r="S23" s="20"/>
      <c r="T23" s="85"/>
      <c r="U23" s="92"/>
    </row>
    <row r="24" spans="1:21">
      <c r="A24" s="6">
        <v>22</v>
      </c>
      <c r="B24" s="162" t="s">
        <v>156</v>
      </c>
      <c r="C24" s="145" t="s">
        <v>157</v>
      </c>
      <c r="D24" s="146" t="s">
        <v>158</v>
      </c>
      <c r="E24" s="146" t="s">
        <v>159</v>
      </c>
      <c r="F24" s="146" t="s">
        <v>160</v>
      </c>
      <c r="G24" s="147" t="s">
        <v>161</v>
      </c>
      <c r="H24" s="147" t="s">
        <v>28</v>
      </c>
      <c r="I24" s="146" t="s">
        <v>28</v>
      </c>
      <c r="J24" s="147" t="s">
        <v>95</v>
      </c>
      <c r="K24" s="30">
        <v>10</v>
      </c>
      <c r="L24" s="30">
        <v>1</v>
      </c>
      <c r="M24" s="29">
        <f t="shared" si="0"/>
        <v>5</v>
      </c>
      <c r="N24" s="62" t="s">
        <v>162</v>
      </c>
      <c r="O24" s="63">
        <v>1.2</v>
      </c>
      <c r="P24" s="63">
        <f t="shared" si="1"/>
        <v>1.2</v>
      </c>
      <c r="Q24" s="63">
        <v>1.2</v>
      </c>
      <c r="R24" s="93">
        <f t="shared" si="2"/>
        <v>12</v>
      </c>
      <c r="S24" s="94" t="s">
        <v>163</v>
      </c>
      <c r="T24" s="95">
        <v>4.7619999999999996</v>
      </c>
      <c r="U24" s="81"/>
    </row>
    <row r="25" spans="1:21">
      <c r="A25" s="6">
        <v>23</v>
      </c>
      <c r="B25" s="163"/>
      <c r="C25" s="142" t="s">
        <v>164</v>
      </c>
      <c r="D25" s="115" t="s">
        <v>165</v>
      </c>
      <c r="E25" s="115" t="s">
        <v>166</v>
      </c>
      <c r="F25" s="115" t="s">
        <v>167</v>
      </c>
      <c r="G25" s="117" t="s">
        <v>168</v>
      </c>
      <c r="H25" s="19" t="s">
        <v>169</v>
      </c>
      <c r="I25" s="115" t="s">
        <v>28</v>
      </c>
      <c r="J25" s="117" t="s">
        <v>95</v>
      </c>
      <c r="K25" s="19">
        <v>6</v>
      </c>
      <c r="L25" s="19">
        <v>1</v>
      </c>
      <c r="M25" s="17">
        <f t="shared" si="0"/>
        <v>5</v>
      </c>
      <c r="N25" s="143" t="s">
        <v>30</v>
      </c>
      <c r="O25" s="59">
        <v>0.27800000000000002</v>
      </c>
      <c r="P25" s="42">
        <f t="shared" si="1"/>
        <v>0.27800000000000002</v>
      </c>
      <c r="Q25" s="42">
        <v>0.27800000000000002</v>
      </c>
      <c r="R25" s="78">
        <f t="shared" si="2"/>
        <v>1.6680000000000001</v>
      </c>
      <c r="S25" s="13"/>
      <c r="T25" s="79"/>
      <c r="U25" s="81"/>
    </row>
    <row r="26" spans="1:21">
      <c r="A26" s="6">
        <v>24</v>
      </c>
      <c r="B26" s="164"/>
      <c r="C26" s="144" t="s">
        <v>170</v>
      </c>
      <c r="D26" s="125" t="s">
        <v>171</v>
      </c>
      <c r="E26" s="125" t="s">
        <v>172</v>
      </c>
      <c r="F26" s="125" t="s">
        <v>173</v>
      </c>
      <c r="G26" s="128" t="s">
        <v>174</v>
      </c>
      <c r="H26" s="23" t="s">
        <v>175</v>
      </c>
      <c r="I26" s="125" t="s">
        <v>28</v>
      </c>
      <c r="J26" s="128" t="s">
        <v>176</v>
      </c>
      <c r="K26" s="23">
        <v>6</v>
      </c>
      <c r="L26" s="23">
        <v>1</v>
      </c>
      <c r="M26" s="21">
        <f t="shared" si="0"/>
        <v>5</v>
      </c>
      <c r="N26" s="148" t="s">
        <v>30</v>
      </c>
      <c r="O26" s="50">
        <v>0.16980000000000001</v>
      </c>
      <c r="P26" s="47">
        <f t="shared" si="1"/>
        <v>0.16980000000000001</v>
      </c>
      <c r="Q26" s="47">
        <v>0.16980000000000001</v>
      </c>
      <c r="R26" s="84">
        <f t="shared" si="2"/>
        <v>1.0188000000000001</v>
      </c>
      <c r="S26" s="86"/>
      <c r="T26" s="85"/>
      <c r="U26" s="81"/>
    </row>
    <row r="27" spans="1:21">
      <c r="A27" s="6">
        <v>25</v>
      </c>
      <c r="B27" s="162" t="s">
        <v>177</v>
      </c>
      <c r="C27" s="145" t="s">
        <v>178</v>
      </c>
      <c r="D27" s="146" t="s">
        <v>179</v>
      </c>
      <c r="E27" s="146" t="s">
        <v>180</v>
      </c>
      <c r="F27" s="146" t="s">
        <v>180</v>
      </c>
      <c r="G27" s="146" t="s">
        <v>181</v>
      </c>
      <c r="H27" s="146" t="s">
        <v>28</v>
      </c>
      <c r="I27" s="146" t="s">
        <v>28</v>
      </c>
      <c r="J27" s="146" t="s">
        <v>95</v>
      </c>
      <c r="K27" s="29">
        <v>100</v>
      </c>
      <c r="L27" s="29">
        <v>1</v>
      </c>
      <c r="M27" s="29">
        <f t="shared" si="0"/>
        <v>5</v>
      </c>
      <c r="N27" s="64" t="s">
        <v>182</v>
      </c>
      <c r="O27" s="63">
        <v>36.9</v>
      </c>
      <c r="P27" s="63">
        <f t="shared" si="1"/>
        <v>36.9</v>
      </c>
      <c r="Q27" s="63">
        <v>0.36899999999999999</v>
      </c>
      <c r="R27" s="93">
        <f t="shared" si="2"/>
        <v>36.9</v>
      </c>
      <c r="S27" s="96" t="s">
        <v>183</v>
      </c>
      <c r="T27" s="95"/>
      <c r="U27" s="81"/>
    </row>
    <row r="28" spans="1:21">
      <c r="A28" s="6">
        <v>26</v>
      </c>
      <c r="B28" s="163"/>
      <c r="C28" s="149" t="s">
        <v>184</v>
      </c>
      <c r="D28" s="150" t="s">
        <v>185</v>
      </c>
      <c r="E28" s="150" t="s">
        <v>61</v>
      </c>
      <c r="F28" s="150" t="s">
        <v>186</v>
      </c>
      <c r="G28" s="150" t="s">
        <v>187</v>
      </c>
      <c r="H28" s="150" t="s">
        <v>28</v>
      </c>
      <c r="I28" s="150" t="s">
        <v>28</v>
      </c>
      <c r="J28" s="151" t="s">
        <v>188</v>
      </c>
      <c r="K28" s="65">
        <v>12</v>
      </c>
      <c r="L28" s="31">
        <v>2</v>
      </c>
      <c r="M28" s="31">
        <f t="shared" si="0"/>
        <v>10</v>
      </c>
      <c r="N28" s="66" t="s">
        <v>189</v>
      </c>
      <c r="O28" s="67">
        <v>0.75</v>
      </c>
      <c r="P28" s="68">
        <f t="shared" si="1"/>
        <v>1.5</v>
      </c>
      <c r="Q28" s="67">
        <v>0.75</v>
      </c>
      <c r="R28" s="69">
        <f t="shared" si="2"/>
        <v>9</v>
      </c>
      <c r="S28" s="97"/>
      <c r="T28" s="98"/>
      <c r="U28" s="81"/>
    </row>
    <row r="29" spans="1:21">
      <c r="A29" s="6">
        <v>27</v>
      </c>
      <c r="B29" s="163"/>
      <c r="C29" s="149" t="s">
        <v>190</v>
      </c>
      <c r="D29" s="150" t="s">
        <v>191</v>
      </c>
      <c r="E29" s="150" t="s">
        <v>61</v>
      </c>
      <c r="F29" s="150" t="s">
        <v>192</v>
      </c>
      <c r="G29" s="150" t="s">
        <v>181</v>
      </c>
      <c r="H29" s="150" t="s">
        <v>28</v>
      </c>
      <c r="I29" s="150" t="s">
        <v>28</v>
      </c>
      <c r="J29" s="151" t="s">
        <v>95</v>
      </c>
      <c r="K29" s="65">
        <v>10</v>
      </c>
      <c r="L29" s="31">
        <v>1</v>
      </c>
      <c r="M29" s="31">
        <f t="shared" si="0"/>
        <v>5</v>
      </c>
      <c r="N29" s="66" t="s">
        <v>182</v>
      </c>
      <c r="O29" s="69">
        <v>0.55300000000000005</v>
      </c>
      <c r="P29" s="68">
        <f t="shared" si="1"/>
        <v>0.55300000000000005</v>
      </c>
      <c r="Q29" s="68">
        <v>0.55300000000000005</v>
      </c>
      <c r="R29" s="69">
        <f t="shared" si="2"/>
        <v>5.53</v>
      </c>
      <c r="S29" s="97"/>
      <c r="T29" s="98"/>
      <c r="U29" s="81"/>
    </row>
    <row r="30" spans="1:21">
      <c r="A30" s="6">
        <v>28</v>
      </c>
      <c r="B30" s="163"/>
      <c r="C30" s="28" t="s">
        <v>193</v>
      </c>
      <c r="D30" s="115" t="s">
        <v>194</v>
      </c>
      <c r="E30" s="115" t="s">
        <v>61</v>
      </c>
      <c r="F30" s="115" t="s">
        <v>195</v>
      </c>
      <c r="G30" s="115" t="s">
        <v>196</v>
      </c>
      <c r="H30" s="115" t="s">
        <v>195</v>
      </c>
      <c r="I30" s="115" t="s">
        <v>28</v>
      </c>
      <c r="J30" s="117" t="s">
        <v>188</v>
      </c>
      <c r="K30" s="19">
        <v>20</v>
      </c>
      <c r="L30" s="13">
        <v>1</v>
      </c>
      <c r="M30" s="17">
        <f t="shared" si="0"/>
        <v>5</v>
      </c>
      <c r="N30" s="70" t="s">
        <v>30</v>
      </c>
      <c r="O30" s="71">
        <v>2.63E-2</v>
      </c>
      <c r="P30" s="72">
        <f>O30*L30</f>
        <v>2.63E-2</v>
      </c>
      <c r="Q30" s="99">
        <v>2.63E-2</v>
      </c>
      <c r="R30" s="100">
        <f>Q30*K30</f>
        <v>0.52600000000000002</v>
      </c>
      <c r="S30" s="82"/>
      <c r="T30" s="79"/>
      <c r="U30" s="81"/>
    </row>
    <row r="31" spans="1:21">
      <c r="A31" s="6">
        <v>29</v>
      </c>
      <c r="B31" s="163"/>
      <c r="C31" s="142" t="s">
        <v>197</v>
      </c>
      <c r="D31" s="115" t="s">
        <v>198</v>
      </c>
      <c r="E31" s="115" t="s">
        <v>199</v>
      </c>
      <c r="F31" s="115" t="s">
        <v>200</v>
      </c>
      <c r="G31" s="115" t="s">
        <v>201</v>
      </c>
      <c r="H31" s="19" t="s">
        <v>202</v>
      </c>
      <c r="I31" s="115" t="s">
        <v>28</v>
      </c>
      <c r="J31" s="117" t="s">
        <v>95</v>
      </c>
      <c r="K31" s="19">
        <v>15</v>
      </c>
      <c r="L31" s="19">
        <v>2</v>
      </c>
      <c r="M31" s="17">
        <f t="shared" si="0"/>
        <v>10</v>
      </c>
      <c r="N31" s="152" t="s">
        <v>30</v>
      </c>
      <c r="O31" s="59">
        <v>0.1085</v>
      </c>
      <c r="P31" s="42">
        <f t="shared" si="1"/>
        <v>0.217</v>
      </c>
      <c r="Q31" s="42">
        <v>0.1085</v>
      </c>
      <c r="R31" s="78">
        <f t="shared" si="2"/>
        <v>1.6274999999999999</v>
      </c>
      <c r="S31" s="13"/>
      <c r="T31" s="79"/>
      <c r="U31" s="81"/>
    </row>
    <row r="32" spans="1:21">
      <c r="A32" s="6">
        <v>30</v>
      </c>
      <c r="B32" s="163"/>
      <c r="C32" s="153" t="s">
        <v>203</v>
      </c>
      <c r="D32" s="32" t="s">
        <v>204</v>
      </c>
      <c r="E32" s="154" t="s">
        <v>205</v>
      </c>
      <c r="F32" s="32" t="s">
        <v>205</v>
      </c>
      <c r="G32" s="32"/>
      <c r="H32" s="32"/>
      <c r="I32" s="32"/>
      <c r="J32" s="32"/>
      <c r="K32" s="32"/>
      <c r="L32" s="32">
        <v>5</v>
      </c>
      <c r="M32" s="17">
        <f t="shared" si="0"/>
        <v>25</v>
      </c>
      <c r="N32" s="32"/>
      <c r="O32" s="73"/>
      <c r="P32" s="73"/>
      <c r="Q32" s="73"/>
      <c r="R32" s="101"/>
      <c r="S32" s="102" t="s">
        <v>206</v>
      </c>
      <c r="T32" s="103"/>
      <c r="U32" s="81"/>
    </row>
    <row r="33" spans="1:21">
      <c r="A33" s="33">
        <v>31</v>
      </c>
      <c r="B33" s="164"/>
      <c r="C33" s="155" t="s">
        <v>207</v>
      </c>
      <c r="D33" s="34" t="s">
        <v>208</v>
      </c>
      <c r="E33" s="156" t="s">
        <v>209</v>
      </c>
      <c r="F33" s="34" t="s">
        <v>209</v>
      </c>
      <c r="G33" s="34"/>
      <c r="H33" s="34"/>
      <c r="I33" s="34"/>
      <c r="J33" s="34"/>
      <c r="K33" s="34"/>
      <c r="L33" s="34">
        <v>5</v>
      </c>
      <c r="M33" s="21">
        <f t="shared" si="0"/>
        <v>25</v>
      </c>
      <c r="N33" s="34"/>
      <c r="O33" s="74"/>
      <c r="P33" s="74"/>
      <c r="Q33" s="74"/>
      <c r="R33" s="104"/>
      <c r="S33" s="105" t="s">
        <v>206</v>
      </c>
      <c r="T33" s="106"/>
      <c r="U33" s="81"/>
    </row>
    <row r="34" spans="1:21" ht="15.75">
      <c r="A34"/>
      <c r="C34" s="35"/>
      <c r="D34" s="35"/>
      <c r="E34" s="35"/>
      <c r="F34" s="35"/>
      <c r="G34" s="35"/>
      <c r="H34" s="35"/>
      <c r="I34" s="35"/>
      <c r="J34" s="35"/>
      <c r="K34" s="35"/>
      <c r="L34" s="160" t="s">
        <v>210</v>
      </c>
      <c r="M34" s="160"/>
      <c r="N34" s="160"/>
      <c r="P34" s="75">
        <f>SUM(P3:P31)</f>
        <v>43.342699999999994</v>
      </c>
      <c r="R34" s="107">
        <f>SUM(R3:R31)</f>
        <v>89.352799999999988</v>
      </c>
      <c r="S34" s="35"/>
      <c r="T34" s="35"/>
      <c r="U34" s="81"/>
    </row>
    <row r="35" spans="1:21" ht="15.75">
      <c r="A35"/>
      <c r="C35" s="35"/>
      <c r="D35" s="35"/>
      <c r="E35" s="35"/>
      <c r="F35" s="35"/>
      <c r="G35" s="35"/>
      <c r="H35" s="35"/>
      <c r="I35" s="35"/>
      <c r="J35" s="35"/>
      <c r="K35" s="35"/>
      <c r="L35" s="161" t="s">
        <v>211</v>
      </c>
      <c r="M35" s="161"/>
      <c r="N35" s="161"/>
      <c r="R35" s="108">
        <f>R34/5</f>
        <v>17.870559999999998</v>
      </c>
      <c r="S35" s="35"/>
      <c r="T35" s="35"/>
      <c r="U35" s="81"/>
    </row>
    <row r="36" spans="1:21">
      <c r="A36"/>
      <c r="T36" s="81"/>
      <c r="U36" s="81"/>
    </row>
    <row r="37" spans="1:21">
      <c r="A37"/>
      <c r="T37" s="81"/>
      <c r="U37" s="81"/>
    </row>
    <row r="38" spans="1:21">
      <c r="A38"/>
      <c r="T38" s="81"/>
      <c r="U38" s="81"/>
    </row>
    <row r="39" spans="1:21">
      <c r="A39"/>
      <c r="T39" s="81"/>
      <c r="U39" s="81"/>
    </row>
    <row r="40" spans="1:21">
      <c r="A40"/>
      <c r="T40" s="81"/>
      <c r="U40" s="81"/>
    </row>
    <row r="41" spans="1:21">
      <c r="A41"/>
      <c r="T41" s="81"/>
      <c r="U41" s="81"/>
    </row>
    <row r="42" spans="1:21">
      <c r="A42"/>
      <c r="T42" s="81"/>
      <c r="U42" s="81"/>
    </row>
    <row r="43" spans="1:21" ht="15.75" customHeight="1">
      <c r="A43"/>
      <c r="T43" s="81"/>
      <c r="U43" s="81"/>
    </row>
    <row r="44" spans="1:21">
      <c r="A44"/>
      <c r="T44" s="81"/>
      <c r="U44" s="81"/>
    </row>
    <row r="45" spans="1:21">
      <c r="A45"/>
      <c r="T45" s="81"/>
      <c r="U45" s="81"/>
    </row>
    <row r="46" spans="1:21">
      <c r="A46"/>
      <c r="T46" s="81"/>
      <c r="U46" s="81"/>
    </row>
    <row r="47" spans="1:21">
      <c r="A47"/>
      <c r="T47" s="81"/>
      <c r="U47" s="81"/>
    </row>
    <row r="48" spans="1:21">
      <c r="A48"/>
      <c r="T48" s="81"/>
      <c r="U48" s="81"/>
    </row>
    <row r="49" spans="8:19">
      <c r="H49" s="36"/>
      <c r="S49" s="109"/>
    </row>
    <row r="50" spans="8:19">
      <c r="H50" s="36"/>
      <c r="S50" s="109"/>
    </row>
  </sheetData>
  <mergeCells count="8">
    <mergeCell ref="A1:T1"/>
    <mergeCell ref="L34:N34"/>
    <mergeCell ref="L35:N35"/>
    <mergeCell ref="B3:B12"/>
    <mergeCell ref="B13:B14"/>
    <mergeCell ref="B17:B23"/>
    <mergeCell ref="B24:B26"/>
    <mergeCell ref="B27:B33"/>
  </mergeCells>
  <conditionalFormatting sqref="S11">
    <cfRule type="dataBar" priority="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{91B8D679-FF0B-4B19-A610-6C243FAF4003}</x14:id>
        </ext>
      </extLst>
    </cfRule>
  </conditionalFormatting>
  <conditionalFormatting sqref="S15">
    <cfRule type="dataBar" priority="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{8602B36A-2B77-4657-823A-0D7B51A8C0D4}</x14:id>
        </ext>
      </extLst>
    </cfRule>
  </conditionalFormatting>
  <conditionalFormatting sqref="N16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{F78C7E8A-5679-42C3-8C50-13119118A4A2}</x14:id>
        </ext>
      </extLst>
    </cfRule>
  </conditionalFormatting>
  <conditionalFormatting sqref="S24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{4C28E1DE-FD45-4E1A-BDB3-0D57D1810C06}</x14:id>
        </ext>
      </extLst>
    </cfRule>
  </conditionalFormatting>
  <conditionalFormatting sqref="L27:M2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2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{EA91E7CB-E035-4D5F-BD6B-48DFB63CCBDB}</x14:id>
        </ext>
      </extLst>
    </cfRule>
  </conditionalFormatting>
  <conditionalFormatting sqref="L3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3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{72F02937-73F0-4B31-B5CA-2D756DF15D65}</x14:id>
        </ext>
      </extLst>
    </cfRule>
  </conditionalFormatting>
  <conditionalFormatting sqref="R35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{54C4F5F8-EDE7-4601-AEAC-8E612BF30C27}</x14:id>
        </ext>
      </extLst>
    </cfRule>
  </conditionalFormatting>
  <conditionalFormatting sqref="L6:L10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{94E20060-874B-439F-8FDA-33B3DD39FFE6}</x14:id>
        </ext>
      </extLst>
    </cfRule>
  </conditionalFormatting>
  <conditionalFormatting sqref="N23:N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{DBB933A5-5D45-42AE-8D8B-F05439EF033D}</x14:id>
        </ext>
      </extLst>
    </cfRule>
  </conditionalFormatting>
  <conditionalFormatting sqref="R3:R33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{FFB8FD96-BB87-47DD-9E3B-FBA7E127703C}</x14:id>
        </ext>
      </extLst>
    </cfRule>
  </conditionalFormatting>
  <conditionalFormatting sqref="S27:S30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{DC4F43E8-CA2D-4F5A-A416-CCDF4C097D17}</x14:id>
        </ext>
      </extLst>
    </cfRule>
  </conditionalFormatting>
  <conditionalFormatting sqref="L11:L26 L31 M3:M33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M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N8" r:id="rId1"/>
    <hyperlink ref="N9" r:id="rId2"/>
    <hyperlink ref="N10" r:id="rId3"/>
    <hyperlink ref="N11" r:id="rId4"/>
    <hyperlink ref="N12" r:id="rId5"/>
    <hyperlink ref="N13" r:id="rId6"/>
    <hyperlink ref="N14" r:id="rId7"/>
    <hyperlink ref="N17" r:id="rId8"/>
    <hyperlink ref="N18" r:id="rId9"/>
    <hyperlink ref="N19" r:id="rId10"/>
    <hyperlink ref="N20" r:id="rId11"/>
    <hyperlink ref="N22" r:id="rId12"/>
    <hyperlink ref="N23" r:id="rId13"/>
    <hyperlink ref="N25" r:id="rId14"/>
    <hyperlink ref="N26" r:id="rId15"/>
    <hyperlink ref="N31" r:id="rId16"/>
    <hyperlink ref="N6" r:id="rId17"/>
    <hyperlink ref="N7" r:id="rId18"/>
    <hyperlink ref="N21" r:id="rId19"/>
    <hyperlink ref="N24" r:id="rId20"/>
    <hyperlink ref="N3" r:id="rId21"/>
    <hyperlink ref="N4" r:id="rId22"/>
    <hyperlink ref="N5" r:id="rId23"/>
    <hyperlink ref="N27" r:id="rId24"/>
    <hyperlink ref="N29" r:id="rId25"/>
    <hyperlink ref="N15" r:id="rId26"/>
    <hyperlink ref="N30" r:id="rId27"/>
  </hyperlink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B8D679-FF0B-4B19-A610-6C243FAF400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S11</xm:sqref>
        </x14:conditionalFormatting>
        <x14:conditionalFormatting xmlns:xm="http://schemas.microsoft.com/office/excel/2006/main">
          <x14:cfRule type="dataBar" id="{8602B36A-2B77-4657-823A-0D7B51A8C0D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S15</xm:sqref>
        </x14:conditionalFormatting>
        <x14:conditionalFormatting xmlns:xm="http://schemas.microsoft.com/office/excel/2006/main">
          <x14:cfRule type="dataBar" id="{F78C7E8A-5679-42C3-8C50-13119118A4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N16</xm:sqref>
        </x14:conditionalFormatting>
        <x14:conditionalFormatting xmlns:xm="http://schemas.microsoft.com/office/excel/2006/main">
          <x14:cfRule type="dataBar" id="{4C28E1DE-FD45-4E1A-BDB3-0D57D1810C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S24</xm:sqref>
        </x14:conditionalFormatting>
        <x14:conditionalFormatting xmlns:xm="http://schemas.microsoft.com/office/excel/2006/main">
          <x14:cfRule type="dataBar" id="{EA91E7CB-E035-4D5F-BD6B-48DFB63CCBD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S32</xm:sqref>
        </x14:conditionalFormatting>
        <x14:conditionalFormatting xmlns:xm="http://schemas.microsoft.com/office/excel/2006/main">
          <x14:cfRule type="dataBar" id="{72F02937-73F0-4B31-B5CA-2D756DF15D6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S33</xm:sqref>
        </x14:conditionalFormatting>
        <x14:conditionalFormatting xmlns:xm="http://schemas.microsoft.com/office/excel/2006/main">
          <x14:cfRule type="dataBar" id="{54C4F5F8-EDE7-4601-AEAC-8E612BF30C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R35</xm:sqref>
        </x14:conditionalFormatting>
        <x14:conditionalFormatting xmlns:xm="http://schemas.microsoft.com/office/excel/2006/main">
          <x14:cfRule type="dataBar" id="{94E20060-874B-439F-8FDA-33B3DD39FF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N3:N4</xm:sqref>
        </x14:conditionalFormatting>
        <x14:conditionalFormatting xmlns:xm="http://schemas.microsoft.com/office/excel/2006/main">
          <x14:cfRule type="dataBar" id="{DBB933A5-5D45-42AE-8D8B-F05439EF03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N23:N24</xm:sqref>
        </x14:conditionalFormatting>
        <x14:conditionalFormatting xmlns:xm="http://schemas.microsoft.com/office/excel/2006/main">
          <x14:cfRule type="dataBar" id="{FFB8FD96-BB87-47DD-9E3B-FBA7E12770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R3:R33</xm:sqref>
        </x14:conditionalFormatting>
        <x14:conditionalFormatting xmlns:xm="http://schemas.microsoft.com/office/excel/2006/main">
          <x14:cfRule type="dataBar" id="{DC4F43E8-CA2D-4F5A-A416-CCDF4C097D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S27:S30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XPENDER</cp:lastModifiedBy>
  <dcterms:created xsi:type="dcterms:W3CDTF">2021-06-08T13:45:00Z</dcterms:created>
  <dcterms:modified xsi:type="dcterms:W3CDTF">2022-04-04T18:34:42Z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6C426FAB849F49D4ADFC871332999A05</vt:lpwstr>
  </property>
  <property fmtid="{D5CDD505-2E9C-101B-9397-08002B2CF9AE}" pid="3" name="KSOProductBuildVer">
    <vt:lpwstr>1033-11.2.0.10382</vt:lpwstr>
  </property>
</Properties>
</file>