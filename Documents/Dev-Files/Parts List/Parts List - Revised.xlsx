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400" windowHeight="1234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<sst xmlns="http://schemas.openxmlformats.org/spreadsheetml/2006/main" count="84" uniqueCount="72">
  <si>
    <t>Christia Raun Part listNENTS LIST - Revised</t>
  </si>
  <si>
    <t>S.No</t>
  </si>
  <si>
    <t>Component Type</t>
  </si>
  <si>
    <t>Component Name</t>
  </si>
  <si>
    <t>Manufacturer Part Number</t>
  </si>
  <si>
    <t>Description</t>
  </si>
  <si>
    <t>Supplier Link</t>
  </si>
  <si>
    <t>Cost per board</t>
  </si>
  <si>
    <t>Remarks from Client</t>
  </si>
  <si>
    <t>Ics</t>
  </si>
  <si>
    <t>Stepper Driver</t>
  </si>
  <si>
    <t>TMC2202-WA-T</t>
  </si>
  <si>
    <t>IC MTR DRV BIPOLAR 5.5-36V 32QFN</t>
  </si>
  <si>
    <t>DigiKey</t>
  </si>
  <si>
    <t>TMC2590-TA-T was cheaper but out of stock everywhere</t>
  </si>
  <si>
    <t>Main Controller</t>
  </si>
  <si>
    <t>LAN9255/ZMX019</t>
  </si>
  <si>
    <t>IC ETHERCAT SLAVE CONTROLLER</t>
  </si>
  <si>
    <t>Mouser</t>
  </si>
  <si>
    <t>for 25 pieces.</t>
  </si>
  <si>
    <t>EEPROM</t>
  </si>
  <si>
    <t>CAT24C256WI-GT3</t>
  </si>
  <si>
    <t>256 Kbit I2C Serial EEPROM</t>
  </si>
  <si>
    <t>Quest Components</t>
  </si>
  <si>
    <t>DC switching regulator</t>
  </si>
  <si>
    <t>SY8204FCC</t>
  </si>
  <si>
    <t>4A 30V SOIC-8_EP_150mil DC-DC Converters</t>
  </si>
  <si>
    <t>Alibaba</t>
  </si>
  <si>
    <t>LDO</t>
  </si>
  <si>
    <t>AZ1117H-3.3TRE1</t>
  </si>
  <si>
    <t>3.3V Regulator</t>
  </si>
  <si>
    <t>Digikey</t>
  </si>
  <si>
    <t>Encoder</t>
  </si>
  <si>
    <t>TLE5012BE5000FUMA1</t>
  </si>
  <si>
    <t>Rotary Magentic Encoder</t>
  </si>
  <si>
    <t>Crystal</t>
  </si>
  <si>
    <t>C3E-25.000-8-1015-X-M</t>
  </si>
  <si>
    <t>CRYSTAL 25.0000MHZ 8PF SMD</t>
  </si>
  <si>
    <t>CM8V-T1A-32.768KHZ-6PF-20PPM-TA-QC</t>
  </si>
  <si>
    <t>CRYSTAL 32.7680KHZ 6PF SMD</t>
  </si>
  <si>
    <t>Transistor</t>
  </si>
  <si>
    <t>Drive Mosfets</t>
  </si>
  <si>
    <t>SIL03N10-TP</t>
  </si>
  <si>
    <t>MOSFET N-CH 100V 3A SOT23-6L</t>
  </si>
  <si>
    <t>8 pieces required in each board (for step and direction cntrl)</t>
  </si>
  <si>
    <t>Switch</t>
  </si>
  <si>
    <t>RESET switch</t>
  </si>
  <si>
    <t>PTS526 SK15 SMTR2 LFS</t>
  </si>
  <si>
    <t>TACT 5.2 X 5.2, 1.5 MM H, 260GF,</t>
  </si>
  <si>
    <t>Pump</t>
  </si>
  <si>
    <t>AIRPO D20288</t>
  </si>
  <si>
    <t>Vaccum Pump</t>
  </si>
  <si>
    <t>Sparkfun</t>
  </si>
  <si>
    <t>Power isolator</t>
  </si>
  <si>
    <t>Optocoupler</t>
  </si>
  <si>
    <t>TLP5751(LF4,E</t>
  </si>
  <si>
    <t>Logic Output Opto-couplers Photocoupler 30V 1A 5000Vrms</t>
  </si>
  <si>
    <t>Connector</t>
  </si>
  <si>
    <t>Header</t>
  </si>
  <si>
    <t>SBH11-PBPC-D10-ST-BK</t>
  </si>
  <si>
    <t>Debugging Header</t>
  </si>
  <si>
    <t>MagJack</t>
  </si>
  <si>
    <t>HR915310A</t>
  </si>
  <si>
    <t>Ethernet Connectors/Modular Connectors (RJ45)</t>
  </si>
  <si>
    <t>DC input headers</t>
  </si>
  <si>
    <t>B2B-ZR(LF)(SN)</t>
  </si>
  <si>
    <t>CONN HEADER VERT 2POS 1.5MM</t>
  </si>
  <si>
    <t>Stepper o/p connector</t>
  </si>
  <si>
    <t>B4B-XH-AM (LF)(SN)</t>
  </si>
  <si>
    <t>Conn Shrouded Header HDR 4 POS 2.5mm Solder ST Top Entry Thru-Hole Box</t>
  </si>
  <si>
    <t>Verical</t>
  </si>
  <si>
    <t>Total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</si>
</sst>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8" formatCode="&quot;$&quot;#,##0.00_);[Red]\(&quot;$&quot;#,##0.00\)"/>
  </numFmts>
  <fonts count="25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599993896298105"/>
        <bgColor theme="9" tint="0.599993896298105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8" fillId="7" borderId="0" applyNumberFormat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0" fontId="11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6" borderId="17" applyNumberFormat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6" fillId="17" borderId="19" applyNumberFormat="0" applyFon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7" fillId="0" borderId="1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5" borderId="16" applyNumberFormat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2" fillId="28" borderId="20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3" fillId="28" borderId="16" applyNumberFormat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0" fillId="4" borderId="3" xfId="0" applyFont="1" applyFill="1" applyBorder="1" applyAlignment="1">
      <alignment horizontal="center" vertical="center"/>
    </xf>
    <xf numFmtId="0" fontId="0" fillId="4" borderId="4" xfId="0" applyFont="1" applyFill="1" applyBorder="1" applyAlignment="1">
      <alignment horizontal="center" vertical="center"/>
    </xf>
    <xf numFmtId="0" fontId="0" fillId="4" borderId="0" xfId="0" applyFont="1" applyFill="1" applyBorder="1" applyAlignment="1">
      <alignment horizontal="center" vertical="center"/>
    </xf>
    <xf numFmtId="0" fontId="0" fillId="4" borderId="5" xfId="0" applyFont="1" applyFill="1" applyBorder="1" applyAlignment="1">
      <alignment horizontal="center" vertical="center"/>
    </xf>
    <xf numFmtId="0" fontId="0" fillId="4" borderId="5" xfId="0" applyFont="1" applyFill="1" applyBorder="1" applyAlignment="1">
      <alignment horizontal="center" vertical="center" wrapText="1"/>
    </xf>
    <xf numFmtId="0" fontId="3" fillId="4" borderId="5" xfId="7" applyFont="1" applyFill="1" applyBorder="1" applyAlignment="1">
      <alignment horizontal="center" vertical="center"/>
    </xf>
    <xf numFmtId="8" fontId="0" fillId="4" borderId="5" xfId="0" applyNumberFormat="1" applyFont="1" applyFill="1" applyBorder="1" applyAlignment="1">
      <alignment horizontal="center" vertical="center"/>
    </xf>
    <xf numFmtId="0" fontId="0" fillId="4" borderId="6" xfId="0" applyFont="1" applyFill="1" applyBorder="1" applyAlignment="1">
      <alignment horizontal="center" vertical="center" wrapText="1"/>
    </xf>
    <xf numFmtId="0" fontId="0" fillId="5" borderId="3" xfId="0" applyFont="1" applyFill="1" applyBorder="1" applyAlignment="1">
      <alignment horizontal="center" vertical="center"/>
    </xf>
    <xf numFmtId="0" fontId="0" fillId="4" borderId="7" xfId="0" applyFont="1" applyFill="1" applyBorder="1" applyAlignment="1">
      <alignment horizontal="center" vertical="center"/>
    </xf>
    <xf numFmtId="0" fontId="0" fillId="5" borderId="8" xfId="0" applyFont="1" applyFill="1" applyBorder="1" applyAlignment="1">
      <alignment horizontal="center" vertical="center"/>
    </xf>
    <xf numFmtId="0" fontId="0" fillId="5" borderId="9" xfId="0" applyFont="1" applyFill="1" applyBorder="1" applyAlignment="1">
      <alignment horizontal="center" vertical="center"/>
    </xf>
    <xf numFmtId="0" fontId="3" fillId="5" borderId="9" xfId="7" applyFont="1" applyFill="1" applyBorder="1" applyAlignment="1">
      <alignment horizontal="center" vertical="center"/>
    </xf>
    <xf numFmtId="8" fontId="0" fillId="5" borderId="9" xfId="0" applyNumberFormat="1" applyFont="1" applyFill="1" applyBorder="1" applyAlignment="1">
      <alignment horizontal="center" vertical="center"/>
    </xf>
    <xf numFmtId="0" fontId="0" fillId="5" borderId="10" xfId="0" applyFont="1" applyFill="1" applyBorder="1" applyAlignment="1">
      <alignment horizontal="center" vertical="center" wrapText="1"/>
    </xf>
    <xf numFmtId="0" fontId="0" fillId="4" borderId="8" xfId="0" applyFont="1" applyFill="1" applyBorder="1" applyAlignment="1">
      <alignment horizontal="center" vertical="center"/>
    </xf>
    <xf numFmtId="0" fontId="0" fillId="4" borderId="9" xfId="0" applyFont="1" applyFill="1" applyBorder="1" applyAlignment="1">
      <alignment horizontal="center" vertical="center"/>
    </xf>
    <xf numFmtId="0" fontId="3" fillId="4" borderId="9" xfId="7" applyFont="1" applyFill="1" applyBorder="1" applyAlignment="1">
      <alignment horizontal="center" vertical="center"/>
    </xf>
    <xf numFmtId="8" fontId="0" fillId="4" borderId="9" xfId="0" applyNumberFormat="1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center" vertical="center"/>
    </xf>
    <xf numFmtId="0" fontId="0" fillId="5" borderId="10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0" fillId="5" borderId="9" xfId="0" applyFont="1" applyFill="1" applyBorder="1" applyAlignment="1">
      <alignment horizontal="center" vertical="center" wrapText="1"/>
    </xf>
    <xf numFmtId="0" fontId="0" fillId="4" borderId="12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center" vertical="center" wrapText="1"/>
    </xf>
    <xf numFmtId="0" fontId="0" fillId="5" borderId="12" xfId="0" applyFont="1" applyFill="1" applyBorder="1" applyAlignment="1">
      <alignment horizontal="center" vertical="center"/>
    </xf>
    <xf numFmtId="0" fontId="4" fillId="4" borderId="9" xfId="7" applyFont="1" applyFill="1" applyBorder="1" applyAlignment="1">
      <alignment horizontal="center" vertical="center"/>
    </xf>
    <xf numFmtId="0" fontId="4" fillId="5" borderId="9" xfId="7" applyFont="1" applyFill="1" applyBorder="1" applyAlignment="1">
      <alignment horizontal="center" vertical="center"/>
    </xf>
    <xf numFmtId="0" fontId="0" fillId="4" borderId="9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3" xfId="0" applyFont="1" applyFill="1" applyBorder="1"/>
    <xf numFmtId="8" fontId="2" fillId="3" borderId="3" xfId="0" applyNumberFormat="1" applyFont="1" applyFill="1" applyBorder="1" applyAlignment="1">
      <alignment horizontal="center" vertical="center"/>
    </xf>
    <xf numFmtId="0" fontId="0" fillId="0" borderId="0" xfId="0" applyFill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digikey.com/en/products/detail/sullins-connector-solutions/SBH11-PBPC-D10-ST-BK/1990065" TargetMode="External"/><Relationship Id="rId8" Type="http://schemas.openxmlformats.org/officeDocument/2006/relationships/hyperlink" Target="https://www.digikey.com/en/products/detail/infineon-technologies/TLE5012BE5000FUMA1/12604055" TargetMode="External"/><Relationship Id="rId7" Type="http://schemas.openxmlformats.org/officeDocument/2006/relationships/hyperlink" Target="https://www.questcomp.com/part/4/cat24c256wi-gt3/127983426?utm_source=digipart&amp;utm_medium=industry-cpc&amp;utm_term=cat24c256wi-gt3&amp;utm_content=standardpricing&amp;utm_campaign=aktype0" TargetMode="External"/><Relationship Id="rId6" Type="http://schemas.openxmlformats.org/officeDocument/2006/relationships/hyperlink" Target="https://www.alibaba.com/product-detail/-Ethernet-Connectors-Modular-Connectors-RJ45_1600220270215.html" TargetMode="External"/><Relationship Id="rId5" Type="http://schemas.openxmlformats.org/officeDocument/2006/relationships/hyperlink" Target="https://eu.mouser.com/ProductDetail/Microchip-Technology/LAN9255-ZMX019?qs=W%2FMpXkg%252BdQ4h9WKxuPtepA%3D%3D&amp;utm_source=digipart&amp;utm_medium=aggregator&amp;utm_campaign=LAN9255/ZMX019&amp;utm_term=LAN9255&amp;utm_content=Microchip" TargetMode="External"/><Relationship Id="rId4" Type="http://schemas.openxmlformats.org/officeDocument/2006/relationships/hyperlink" Target="https://eu.mouser.com/ProductDetail/Toshiba/TLP5751LF4E?qs=sGAEpiMZZMteimceiIVCB0r22036R43JyYcrzpJ6OhOAddVl%2FyBMKg%3D%3D" TargetMode="External"/><Relationship Id="rId3" Type="http://schemas.openxmlformats.org/officeDocument/2006/relationships/hyperlink" Target="https://www.sparkfun.com/products/10398" TargetMode="External"/><Relationship Id="rId2" Type="http://schemas.openxmlformats.org/officeDocument/2006/relationships/hyperlink" Target="https://www.digikey.com/en/products/detail/diodes-incorporated/AZ1117H-3-3TRE1/4471000?s=N4IgTCBcDaIIIC0CMKDsAJAtAZgHTYBUAlAUSRAF0BfIA" TargetMode="External"/><Relationship Id="rId16" Type="http://schemas.openxmlformats.org/officeDocument/2006/relationships/hyperlink" Target="https://www.alibaba.com/product-detail/Ready-To-Ship-SY8204FCC-SOP-Original_1600200406267.html" TargetMode="External"/><Relationship Id="rId15" Type="http://schemas.openxmlformats.org/officeDocument/2006/relationships/hyperlink" Target="https://www.digikey.com/en/products/detail/c-k/PTS526-SK15-SMTR2-LFS/10056626" TargetMode="External"/><Relationship Id="rId14" Type="http://schemas.openxmlformats.org/officeDocument/2006/relationships/hyperlink" Target="https://www.digikey.com/en/products/detail/micro-crystal-ag/CM8V-T1A-32-768KHZ-6PF-20PPM-TA-QC/10499094" TargetMode="External"/><Relationship Id="rId13" Type="http://schemas.openxmlformats.org/officeDocument/2006/relationships/hyperlink" Target="https://www.digikey.com/en/products/detail/jst-sales-america-inc/B2B-ZR-LF-SN/926564" TargetMode="External"/><Relationship Id="rId12" Type="http://schemas.openxmlformats.org/officeDocument/2006/relationships/hyperlink" Target="https://www.digikey.com/en/products/detail/micro-commercial-co/SIL03N10-TP/12177215?s=N4IgTCBcDaIMoEkAyAGAzAOQIwoLQBUAFEAXQF8g" TargetMode="External"/><Relationship Id="rId11" Type="http://schemas.openxmlformats.org/officeDocument/2006/relationships/hyperlink" Target="https://www.digikey.com/en/products/detail/aker-technology-usa/C3E-25-000-8-1015-X-M/12730886" TargetMode="External"/><Relationship Id="rId10" Type="http://schemas.openxmlformats.org/officeDocument/2006/relationships/hyperlink" Target="https://www.verical.com/pd/jst-headers---pcb-receptacles-B4B-XH-AM--LF--SN--2546548?utm_campaign=octopart_2020&amp;utm_currency=USD&amp;utm_keyword=B4B-XH-AM%20(LF)(SN)&amp;utm_medium=aggregator&amp;utm_content=inv_listing&amp;utm_source=octopart" TargetMode="External"/><Relationship Id="rId1" Type="http://schemas.openxmlformats.org/officeDocument/2006/relationships/hyperlink" Target="https://eu.mouser.com/ProductDetail/Trinamic/TMC2202-WA-T?qs=%2Fha2pyFadui%252BiGdKeLV4XexR55Za9Ab5Z10nnQxiEr0vLbLMGfgr3w%3D%3D&amp;utm_source=octopart&amp;utm_medium=aggregator&amp;utm_campaign=700-TMC2202-WA-T&amp;utm_content=Trinam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tabSelected="1" topLeftCell="C1" workbookViewId="0">
      <selection activeCell="E23" sqref="E23"/>
    </sheetView>
  </sheetViews>
  <sheetFormatPr defaultColWidth="9" defaultRowHeight="15"/>
  <cols>
    <col min="1" max="1" width="5.71428571428571" customWidth="1"/>
    <col min="2" max="2" width="26.4380952380952" customWidth="1"/>
    <col min="3" max="3" width="24.552380952381" customWidth="1"/>
    <col min="4" max="4" width="28.3333333333333" customWidth="1"/>
    <col min="5" max="5" width="40.1047619047619" customWidth="1"/>
    <col min="6" max="6" width="21.552380952381" customWidth="1"/>
    <col min="7" max="7" width="16" customWidth="1"/>
    <col min="8" max="8" width="33.8857142857143" customWidth="1"/>
  </cols>
  <sheetData>
    <row r="1" ht="16.5" spans="1:14">
      <c r="A1" s="1" t="s">
        <v>0</v>
      </c>
      <c r="B1" s="2"/>
      <c r="C1" s="2"/>
      <c r="D1" s="2"/>
      <c r="E1" s="2"/>
      <c r="F1" s="2"/>
      <c r="G1" s="2"/>
      <c r="H1" s="2"/>
      <c r="I1" s="37"/>
      <c r="J1" s="37"/>
      <c r="K1" s="37"/>
      <c r="L1" s="37"/>
      <c r="M1" s="37"/>
      <c r="N1" s="37"/>
    </row>
    <row r="2" spans="1:1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7"/>
      <c r="J2" s="37"/>
      <c r="K2" s="37"/>
      <c r="L2" s="37"/>
      <c r="M2" s="37"/>
      <c r="N2" s="37"/>
    </row>
    <row r="3" ht="30.75" spans="1:14">
      <c r="A3" s="4">
        <v>1</v>
      </c>
      <c r="B3" s="5" t="s">
        <v>9</v>
      </c>
      <c r="C3" s="6" t="s">
        <v>10</v>
      </c>
      <c r="D3" s="7" t="s">
        <v>11</v>
      </c>
      <c r="E3" s="8" t="s">
        <v>12</v>
      </c>
      <c r="F3" s="9" t="s">
        <v>13</v>
      </c>
      <c r="G3" s="10">
        <v>2.3</v>
      </c>
      <c r="H3" s="11" t="s">
        <v>14</v>
      </c>
      <c r="I3" s="37"/>
      <c r="J3" s="37"/>
      <c r="K3" s="37"/>
      <c r="L3" s="37"/>
      <c r="M3" s="37"/>
      <c r="N3" s="37"/>
    </row>
    <row r="4" ht="15.75" spans="1:14">
      <c r="A4" s="12">
        <v>2</v>
      </c>
      <c r="B4" s="13"/>
      <c r="C4" s="14" t="s">
        <v>15</v>
      </c>
      <c r="D4" s="15" t="s">
        <v>16</v>
      </c>
      <c r="E4" s="15" t="s">
        <v>17</v>
      </c>
      <c r="F4" s="16" t="s">
        <v>18</v>
      </c>
      <c r="G4" s="17">
        <v>14.7</v>
      </c>
      <c r="H4" s="18" t="s">
        <v>19</v>
      </c>
      <c r="I4" s="37"/>
      <c r="J4" s="37"/>
      <c r="K4" s="37"/>
      <c r="L4" s="37"/>
      <c r="M4" s="37"/>
      <c r="N4" s="37"/>
    </row>
    <row r="5" ht="15.75" spans="1:14">
      <c r="A5" s="4">
        <v>3</v>
      </c>
      <c r="B5" s="13"/>
      <c r="C5" s="19" t="s">
        <v>20</v>
      </c>
      <c r="D5" s="20" t="s">
        <v>21</v>
      </c>
      <c r="E5" s="20" t="s">
        <v>22</v>
      </c>
      <c r="F5" s="21" t="s">
        <v>23</v>
      </c>
      <c r="G5" s="22">
        <v>0.16</v>
      </c>
      <c r="H5" s="23"/>
      <c r="I5" s="37"/>
      <c r="J5" s="37"/>
      <c r="K5" s="37"/>
      <c r="L5" s="37"/>
      <c r="M5" s="37"/>
      <c r="N5" s="37"/>
    </row>
    <row r="6" ht="15.75" spans="1:14">
      <c r="A6" s="4">
        <v>4</v>
      </c>
      <c r="B6" s="13"/>
      <c r="C6" s="14" t="s">
        <v>24</v>
      </c>
      <c r="D6" s="15" t="s">
        <v>25</v>
      </c>
      <c r="E6" s="15" t="s">
        <v>26</v>
      </c>
      <c r="F6" s="16" t="s">
        <v>27</v>
      </c>
      <c r="G6" s="17">
        <v>0.5</v>
      </c>
      <c r="H6" s="24"/>
      <c r="I6" s="37"/>
      <c r="J6" s="37"/>
      <c r="K6" s="37"/>
      <c r="L6" s="37"/>
      <c r="M6" s="37"/>
      <c r="N6" s="37"/>
    </row>
    <row r="7" ht="15.75" spans="1:14">
      <c r="A7" s="4">
        <v>5</v>
      </c>
      <c r="B7" s="13"/>
      <c r="C7" s="19" t="s">
        <v>28</v>
      </c>
      <c r="D7" s="20" t="s">
        <v>29</v>
      </c>
      <c r="E7" s="20" t="s">
        <v>30</v>
      </c>
      <c r="F7" s="21" t="s">
        <v>31</v>
      </c>
      <c r="G7" s="22">
        <v>0.23</v>
      </c>
      <c r="H7" s="23"/>
      <c r="I7" s="37"/>
      <c r="J7" s="37"/>
      <c r="K7" s="37"/>
      <c r="L7" s="37"/>
      <c r="M7" s="37"/>
      <c r="N7" s="37"/>
    </row>
    <row r="8" ht="23.25" customHeight="1" spans="1:14">
      <c r="A8" s="12">
        <v>6</v>
      </c>
      <c r="B8" s="25"/>
      <c r="C8" s="14" t="s">
        <v>32</v>
      </c>
      <c r="D8" s="15" t="s">
        <v>33</v>
      </c>
      <c r="E8" s="15" t="s">
        <v>34</v>
      </c>
      <c r="F8" s="16" t="s">
        <v>31</v>
      </c>
      <c r="G8" s="17">
        <v>2.46</v>
      </c>
      <c r="H8" s="24"/>
      <c r="I8" s="37"/>
      <c r="J8" s="37"/>
      <c r="K8" s="37"/>
      <c r="L8" s="37"/>
      <c r="M8" s="37"/>
      <c r="N8" s="37"/>
    </row>
    <row r="9" ht="15.75" spans="1:14">
      <c r="A9" s="4">
        <v>7</v>
      </c>
      <c r="B9" s="5" t="s">
        <v>35</v>
      </c>
      <c r="C9" s="19" t="s">
        <v>35</v>
      </c>
      <c r="D9" s="20" t="s">
        <v>36</v>
      </c>
      <c r="E9" s="20" t="s">
        <v>37</v>
      </c>
      <c r="F9" s="21" t="s">
        <v>31</v>
      </c>
      <c r="G9" s="22">
        <v>0.25</v>
      </c>
      <c r="H9" s="23"/>
      <c r="I9" s="37"/>
      <c r="J9" s="37"/>
      <c r="K9" s="37"/>
      <c r="L9" s="37"/>
      <c r="M9" s="37"/>
      <c r="N9" s="37"/>
    </row>
    <row r="10" ht="30.75" spans="1:14">
      <c r="A10" s="4">
        <v>8</v>
      </c>
      <c r="B10" s="25"/>
      <c r="C10" s="14" t="s">
        <v>35</v>
      </c>
      <c r="D10" s="26" t="s">
        <v>38</v>
      </c>
      <c r="E10" s="15" t="s">
        <v>39</v>
      </c>
      <c r="F10" s="16" t="s">
        <v>13</v>
      </c>
      <c r="G10" s="17">
        <v>0.45</v>
      </c>
      <c r="H10" s="24"/>
      <c r="I10" s="37"/>
      <c r="J10" s="37"/>
      <c r="K10" s="37"/>
      <c r="L10" s="37"/>
      <c r="M10" s="37"/>
      <c r="N10" s="37"/>
    </row>
    <row r="11" ht="30.75" spans="1:14">
      <c r="A11" s="4">
        <v>9</v>
      </c>
      <c r="B11" s="27" t="s">
        <v>40</v>
      </c>
      <c r="C11" s="19" t="s">
        <v>41</v>
      </c>
      <c r="D11" s="20" t="s">
        <v>42</v>
      </c>
      <c r="E11" s="20" t="s">
        <v>43</v>
      </c>
      <c r="F11" s="21" t="s">
        <v>13</v>
      </c>
      <c r="G11" s="22">
        <f>0.1</f>
        <v>0.1</v>
      </c>
      <c r="H11" s="28" t="s">
        <v>44</v>
      </c>
      <c r="I11" s="37"/>
      <c r="J11" s="37"/>
      <c r="K11" s="37"/>
      <c r="L11" s="37"/>
      <c r="M11" s="37"/>
      <c r="N11" s="37"/>
    </row>
    <row r="12" ht="15.75" spans="1:14">
      <c r="A12" s="4">
        <v>10</v>
      </c>
      <c r="B12" s="29" t="s">
        <v>45</v>
      </c>
      <c r="C12" s="14" t="s">
        <v>46</v>
      </c>
      <c r="D12" s="15" t="s">
        <v>47</v>
      </c>
      <c r="E12" s="15" t="s">
        <v>48</v>
      </c>
      <c r="F12" s="16" t="s">
        <v>13</v>
      </c>
      <c r="G12" s="17">
        <v>0.093</v>
      </c>
      <c r="H12" s="18"/>
      <c r="I12" s="37"/>
      <c r="J12" s="37"/>
      <c r="K12" s="37"/>
      <c r="L12" s="37"/>
      <c r="M12" s="37"/>
      <c r="N12" s="37"/>
    </row>
    <row r="13" ht="15.75" spans="1:14">
      <c r="A13" s="4">
        <v>11</v>
      </c>
      <c r="B13" s="27" t="s">
        <v>49</v>
      </c>
      <c r="C13" s="19" t="s">
        <v>49</v>
      </c>
      <c r="D13" s="20" t="s">
        <v>50</v>
      </c>
      <c r="E13" s="20" t="s">
        <v>51</v>
      </c>
      <c r="F13" s="21" t="s">
        <v>52</v>
      </c>
      <c r="G13" s="22">
        <v>18.95</v>
      </c>
      <c r="H13" s="23"/>
      <c r="I13" s="37"/>
      <c r="J13" s="37"/>
      <c r="K13" s="37"/>
      <c r="L13" s="37"/>
      <c r="M13" s="37"/>
      <c r="N13" s="37"/>
    </row>
    <row r="14" ht="30.75" spans="1:14">
      <c r="A14" s="12">
        <v>12</v>
      </c>
      <c r="B14" s="29" t="s">
        <v>53</v>
      </c>
      <c r="C14" s="14" t="s">
        <v>54</v>
      </c>
      <c r="D14" s="15" t="s">
        <v>55</v>
      </c>
      <c r="E14" s="26" t="s">
        <v>56</v>
      </c>
      <c r="F14" s="16" t="s">
        <v>18</v>
      </c>
      <c r="G14" s="17">
        <v>1.3</v>
      </c>
      <c r="H14" s="24"/>
      <c r="I14" s="37"/>
      <c r="J14" s="37"/>
      <c r="K14" s="37"/>
      <c r="L14" s="37"/>
      <c r="M14" s="37"/>
      <c r="N14" s="37"/>
    </row>
    <row r="15" spans="1:14">
      <c r="A15" s="4">
        <v>13</v>
      </c>
      <c r="B15" s="5" t="s">
        <v>57</v>
      </c>
      <c r="C15" s="19" t="s">
        <v>58</v>
      </c>
      <c r="D15" s="20" t="s">
        <v>59</v>
      </c>
      <c r="E15" s="20" t="s">
        <v>60</v>
      </c>
      <c r="F15" s="30" t="s">
        <v>31</v>
      </c>
      <c r="G15" s="22">
        <v>0.5</v>
      </c>
      <c r="H15" s="23"/>
      <c r="I15" s="37"/>
      <c r="J15" s="37"/>
      <c r="K15" s="37"/>
      <c r="L15" s="37"/>
      <c r="M15" s="37"/>
      <c r="N15" s="37"/>
    </row>
    <row r="16" ht="30.75" spans="1:14">
      <c r="A16" s="4">
        <v>14</v>
      </c>
      <c r="B16" s="13"/>
      <c r="C16" s="14" t="s">
        <v>61</v>
      </c>
      <c r="D16" s="15" t="s">
        <v>62</v>
      </c>
      <c r="E16" s="26" t="s">
        <v>63</v>
      </c>
      <c r="F16" s="31" t="s">
        <v>27</v>
      </c>
      <c r="G16" s="17">
        <f>1.1</f>
        <v>1.1</v>
      </c>
      <c r="H16" s="24"/>
      <c r="I16" s="37"/>
      <c r="J16" s="37"/>
      <c r="K16" s="37"/>
      <c r="L16" s="37"/>
      <c r="M16" s="37"/>
      <c r="N16" s="37"/>
    </row>
    <row r="17" ht="15.75" spans="1:14">
      <c r="A17" s="4">
        <v>15</v>
      </c>
      <c r="B17" s="13"/>
      <c r="C17" s="19" t="s">
        <v>64</v>
      </c>
      <c r="D17" s="20" t="s">
        <v>65</v>
      </c>
      <c r="E17" s="32" t="s">
        <v>66</v>
      </c>
      <c r="F17" s="30" t="s">
        <v>13</v>
      </c>
      <c r="G17" s="22">
        <v>0.09</v>
      </c>
      <c r="H17" s="23"/>
      <c r="I17" s="37"/>
      <c r="J17" s="37"/>
      <c r="K17" s="37"/>
      <c r="L17" s="37"/>
      <c r="M17" s="37"/>
      <c r="N17" s="37"/>
    </row>
    <row r="18" ht="30.75" spans="1:14">
      <c r="A18" s="12">
        <v>16</v>
      </c>
      <c r="B18" s="13"/>
      <c r="C18" s="33" t="s">
        <v>67</v>
      </c>
      <c r="D18" s="15" t="s">
        <v>68</v>
      </c>
      <c r="E18" s="26" t="s">
        <v>69</v>
      </c>
      <c r="F18" s="31" t="s">
        <v>70</v>
      </c>
      <c r="G18" s="17">
        <v>0.156</v>
      </c>
      <c r="H18" s="24"/>
      <c r="I18" s="37"/>
      <c r="J18" s="37"/>
      <c r="K18" s="37"/>
      <c r="L18" s="37"/>
      <c r="M18" s="37"/>
      <c r="N18" s="37"/>
    </row>
    <row r="19" ht="15.75" spans="1:14">
      <c r="A19" s="34"/>
      <c r="B19" s="3"/>
      <c r="C19" s="3"/>
      <c r="D19" s="3"/>
      <c r="E19" s="35"/>
      <c r="F19" s="3" t="s">
        <v>71</v>
      </c>
      <c r="G19" s="36">
        <f>SUM(Sheet1!$G$3:$G$18)</f>
        <v>43.339</v>
      </c>
      <c r="H19" s="3"/>
      <c r="I19" s="37"/>
      <c r="J19" s="37"/>
      <c r="K19" s="37"/>
      <c r="L19" s="37"/>
      <c r="M19" s="37"/>
      <c r="N19" s="37"/>
    </row>
  </sheetData>
  <mergeCells count="4">
    <mergeCell ref="A1:H1"/>
    <mergeCell ref="B3:B8"/>
    <mergeCell ref="B9:B10"/>
    <mergeCell ref="B15:B18"/>
  </mergeCells>
  <hyperlinks>
    <hyperlink ref="F3" r:id="rId1" display="DigiKey"/>
    <hyperlink ref="F7" r:id="rId2" display="Digikey"/>
    <hyperlink ref="F13" r:id="rId3" display="Sparkfun"/>
    <hyperlink ref="F14" r:id="rId4" display="Mouser"/>
    <hyperlink ref="F4" r:id="rId5" display="Mouser"/>
    <hyperlink ref="F16" r:id="rId6" display="Alibaba"/>
    <hyperlink ref="F5" r:id="rId7" display="Quest Components"/>
    <hyperlink ref="F8" r:id="rId8" display="Digikey"/>
    <hyperlink ref="F15" r:id="rId9" display="Digikey"/>
    <hyperlink ref="F18" r:id="rId10" display="Verical"/>
    <hyperlink ref="F9" r:id="rId11" display="Digikey"/>
    <hyperlink ref="F11" r:id="rId12" display="DigiKey"/>
    <hyperlink ref="F17" r:id="rId13" display="DigiKey"/>
    <hyperlink ref="F10" r:id="rId14" display="DigiKey"/>
    <hyperlink ref="F12" r:id="rId15" display="DigiKey"/>
    <hyperlink ref="F6" r:id="rId16" display="Alibaba"/>
  </hyperlink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eSpark-35</cp:lastModifiedBy>
  <dcterms:created xsi:type="dcterms:W3CDTF">2021-09-15T13:39:00Z</dcterms:created>
  <dcterms:modified xsi:type="dcterms:W3CDTF">2021-09-18T17:20:48Z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0F3520806EB54907A38DF82FA57DCBE2</vt:lpwstr>
  </property>
  <property fmtid="{D5CDD505-2E9C-101B-9397-08002B2CF9AE}" pid="3" name="KSOProductBuildVer">
    <vt:lpwstr>1033-11.2.0.10265</vt:lpwstr>
  </property>
</Properties>
</file>