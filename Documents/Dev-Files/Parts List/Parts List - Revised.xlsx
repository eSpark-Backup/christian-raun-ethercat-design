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ChrisitanRaun-AnnanasMotor\Documents\Dev-Files\Parts List\"/>
    </mc:Choice>
  </mc:AlternateContent>
  <xr:revisionPtr revIDLastSave="0" documentId="13_ncr:1_{E36D67B2-6B05-4444-BB16-A4D85DA50CD3}" xr6:coauthVersionLast="47" xr6:coauthVersionMax="47" xr10:uidLastSave="{00000000-0000-0000-0000-000000000000}"/>
  <bookViews>
    <workbookView xWindow="3375" yWindow="300" windowWidth="10335" windowHeight="10620" xr2:uid="{623B4204-36C6-4A79-936E-19F9F488D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12" i="1"/>
  <c r="G21" i="1" s="1"/>
</calcChain>
</file>

<file path=xl/sharedStrings.xml><?xml version="1.0" encoding="utf-8"?>
<sst xmlns="http://schemas.openxmlformats.org/spreadsheetml/2006/main" count="92" uniqueCount="79">
  <si>
    <t>S.No</t>
  </si>
  <si>
    <t>Component Name</t>
  </si>
  <si>
    <t>Manufacturer Part Number</t>
  </si>
  <si>
    <t>Description</t>
  </si>
  <si>
    <t>Remarks from Client</t>
  </si>
  <si>
    <t>Stepper Driver</t>
  </si>
  <si>
    <t>Digikey</t>
  </si>
  <si>
    <t>Main Controller</t>
  </si>
  <si>
    <t>LDO</t>
  </si>
  <si>
    <t>3.3V Regulator</t>
  </si>
  <si>
    <t>Encoder</t>
  </si>
  <si>
    <t>Rotary Magentic Encoder</t>
  </si>
  <si>
    <t>Pump</t>
  </si>
  <si>
    <t>AIRPO D20288</t>
  </si>
  <si>
    <t>Vaccum Pump</t>
  </si>
  <si>
    <t>Sparkfun</t>
  </si>
  <si>
    <t>Header</t>
  </si>
  <si>
    <t>Debugging Header</t>
  </si>
  <si>
    <t>MagJack</t>
  </si>
  <si>
    <t>Alibaba</t>
  </si>
  <si>
    <t>CAT24C256WI-GT3</t>
  </si>
  <si>
    <t>EEPROM</t>
  </si>
  <si>
    <t>256 Kbit I2C Serial EEPROM</t>
  </si>
  <si>
    <t>Ethernet Connectors/Modular Connectors (RJ45)</t>
  </si>
  <si>
    <t>TLE5012BE5000FUMA1</t>
  </si>
  <si>
    <t>DigiKey</t>
  </si>
  <si>
    <t>IC ETHERCAT SLAVE CONTROLLER</t>
  </si>
  <si>
    <t>SBH11-PBPC-D10-ST-BK</t>
  </si>
  <si>
    <t>Drive Mosfets</t>
  </si>
  <si>
    <t>C3E-25.000-8-1015-X-M</t>
  </si>
  <si>
    <t>CRYSTAL 25.0000MHZ 8PF SMD</t>
  </si>
  <si>
    <t>Crystal</t>
  </si>
  <si>
    <t>DC input headers</t>
  </si>
  <si>
    <t>for 25 pieces.</t>
  </si>
  <si>
    <t>LAN9255/ZMX019</t>
  </si>
  <si>
    <t>Mouser</t>
  </si>
  <si>
    <t>Component Type</t>
  </si>
  <si>
    <t>Cost per board</t>
  </si>
  <si>
    <t>Power isolator</t>
  </si>
  <si>
    <t>Transistor</t>
  </si>
  <si>
    <t>Ics</t>
  </si>
  <si>
    <t>Supplier Link</t>
  </si>
  <si>
    <t>Quest Components</t>
  </si>
  <si>
    <t>MOSFET N-CH 100V 3A SOT23-6L</t>
  </si>
  <si>
    <t>SIL03N10-TP</t>
  </si>
  <si>
    <t>8 pieces required in each board (for step and direction cntrl)</t>
  </si>
  <si>
    <t>B2B-ZR(LF)(SN)</t>
  </si>
  <si>
    <t>CONN HEADER VERT 2POS 1.5MM</t>
  </si>
  <si>
    <t>Verical</t>
  </si>
  <si>
    <t>Stepper o/p connector</t>
  </si>
  <si>
    <t>B4B-XH-AM (LF)(SN)</t>
  </si>
  <si>
    <t>Conn Shrouded Header HDR 4 POS 2.5mm Solder ST Top Entry Thru-Hole Box</t>
  </si>
  <si>
    <t>CM8V-T1A-32.768KHZ-6PF-20PPM-TA-QC</t>
  </si>
  <si>
    <t>CRYSTAL 32.7680KHZ 6PF SMD</t>
  </si>
  <si>
    <t>Switch</t>
  </si>
  <si>
    <t>RESET switch</t>
  </si>
  <si>
    <t>PTS526 SK15 SMTR2 LFS</t>
  </si>
  <si>
    <t>TACT 5.2 X 5.2, 1.5 MM H, 260GF,</t>
  </si>
  <si>
    <t>IC MTR DRV BIPOLAR 5.5-36V 32QFN</t>
  </si>
  <si>
    <t>TMC2202-WA-T</t>
  </si>
  <si>
    <t>AZ1117H-3.3TRE1</t>
  </si>
  <si>
    <t>DC switching regulator</t>
  </si>
  <si>
    <t>Connector</t>
  </si>
  <si>
    <t>Optocoupler</t>
  </si>
  <si>
    <t>Logic Output Opto-couplers Photocoupler 30V 1A 5000Vrms</t>
  </si>
  <si>
    <t>TLP5751(LF4,E</t>
  </si>
  <si>
    <t>Total</t>
  </si>
  <si>
    <t>HR911105A</t>
  </si>
  <si>
    <t>Level translator</t>
  </si>
  <si>
    <t>IC TRANSLATION TXRX 5.5V 24TSSOP</t>
  </si>
  <si>
    <t>SN74LVCH8T245PWR</t>
  </si>
  <si>
    <t xml:space="preserve">
Miscellaneous</t>
  </si>
  <si>
    <t>Resistors, capacitors and inductors, LED</t>
  </si>
  <si>
    <t>more than 50V (preferably 100V), 0603 package</t>
  </si>
  <si>
    <t>Christia Raun Part list - Revised</t>
  </si>
  <si>
    <t>XL4001E1</t>
  </si>
  <si>
    <t>2A 150kHz 40V Buck DC/DC Converter With Constant Current Loop</t>
  </si>
  <si>
    <t>for 100+ pieces</t>
  </si>
  <si>
    <t>1K, 10K, 100K, 2K, 1uF, 0.1uF, 10nF, 10uF, 22uF, 2.2uF, 0.47uF, 33nF, 1.47 uH/3A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</si>
</sst>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Fill="1"/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/>
    </xf>
    <xf numFmtId="8" fontId="0" fillId="3" borderId="5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8" fontId="0" fillId="2" borderId="5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/>
    <xf numFmtId="8" fontId="4" fillId="4" borderId="10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" fillId="3" borderId="5" xfId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 wrapText="1"/>
    </xf>
    <xf numFmtId="0" fontId="1" fillId="2" borderId="0" xfId="1" applyFont="1" applyFill="1" applyBorder="1" applyAlignment="1">
      <alignment horizontal="center" vertical="center"/>
    </xf>
    <xf numFmtId="8" fontId="0" fillId="2" borderId="13" xfId="0" applyNumberFormat="1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infineon-technologies/TLE5012BE5000FUMA1/12604055" TargetMode="External"/><Relationship Id="rId13" Type="http://schemas.openxmlformats.org/officeDocument/2006/relationships/hyperlink" Target="https://www.digikey.com/en/products/detail/jst-sales-america-inc/B2B-ZR-LF-SN/926564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sparkfun.com/products/10398" TargetMode="External"/><Relationship Id="rId7" Type="http://schemas.openxmlformats.org/officeDocument/2006/relationships/hyperlink" Target="https://www.questcomp.com/part/4/cat24c256wi-gt3/127983426?utm_source=digipart&amp;utm_medium=industry-cpc&amp;utm_term=cat24c256wi-gt3&amp;utm_content=standardpricing&amp;utm_campaign=aktype0" TargetMode="External"/><Relationship Id="rId12" Type="http://schemas.openxmlformats.org/officeDocument/2006/relationships/hyperlink" Target="https://www.digikey.com/en/products/detail/micro-commercial-co/SIL03N10-TP/12177215?s=N4IgTCBcDaIMoEkAyAGAzAOQIwoLQBUAFEAXQF8g" TargetMode="External"/><Relationship Id="rId17" Type="http://schemas.openxmlformats.org/officeDocument/2006/relationships/hyperlink" Target="https://www.digikey.com/en/products/detail/njr-corporation-njrc/NJW4132U2-C-TE1/10671837" TargetMode="External"/><Relationship Id="rId2" Type="http://schemas.openxmlformats.org/officeDocument/2006/relationships/hyperlink" Target="https://www.digikey.com/en/products/detail/diodes-incorporated/AZ1117H-3-3TRE1/4471000?s=N4IgTCBcDaIIIC0CMKDsAJAtAZgHTYBUAlAUSRAF0BfIA" TargetMode="External"/><Relationship Id="rId16" Type="http://schemas.openxmlformats.org/officeDocument/2006/relationships/hyperlink" Target="https://www.alibaba.com/product-detail/New-Integrated-Circuit-XL4001E1-in-stock_1600251950180.html?spm=a2700.7724857.normal_offer.d_title.4874375baSJZtX" TargetMode="External"/><Relationship Id="rId1" Type="http://schemas.openxmlformats.org/officeDocument/2006/relationships/hyperlink" Target="https://eu.mouser.com/ProductDetail/Trinamic/TMC2202-WA-T?qs=%2Fha2pyFadui%252BiGdKeLV4XexR55Za9Ab5Z10nnQxiEr0vLbLMGfgr3w%3D%3D&amp;utm_source=octopart&amp;utm_medium=aggregator&amp;utm_campaign=700-TMC2202-WA-T&amp;utm_content=Trinamic" TargetMode="External"/><Relationship Id="rId6" Type="http://schemas.openxmlformats.org/officeDocument/2006/relationships/hyperlink" Target="https://www.alibaba.com/product-detail/-Ethernet-Connectors-Modular-Connectors-RJ45_1600220270215.html" TargetMode="External"/><Relationship Id="rId11" Type="http://schemas.openxmlformats.org/officeDocument/2006/relationships/hyperlink" Target="https://www.digikey.com/en/products/detail/aker-technology-usa/C3E-25-000-8-1015-X-M/12730886" TargetMode="External"/><Relationship Id="rId5" Type="http://schemas.openxmlformats.org/officeDocument/2006/relationships/hyperlink" Target="https://eu.mouser.com/ProductDetail/Microchip-Technology/LAN9255-ZMX019?qs=W%2FMpXkg%252BdQ4h9WKxuPtepA%3D%3D&amp;utm_source=digipart&amp;utm_medium=aggregator&amp;utm_campaign=LAN9255/ZMX019&amp;utm_term=LAN9255&amp;utm_content=Microchip" TargetMode="External"/><Relationship Id="rId15" Type="http://schemas.openxmlformats.org/officeDocument/2006/relationships/hyperlink" Target="https://www.digikey.com/en/products/detail/c-k/PTS526-SK15-SMTR2-LFS/10056626" TargetMode="External"/><Relationship Id="rId10" Type="http://schemas.openxmlformats.org/officeDocument/2006/relationships/hyperlink" Target="https://www.verical.com/pd/jst-headers---pcb-receptacles-B4B-XH-AM--LF--SN--2546548?utm_campaign=octopart_2020&amp;utm_currency=USD&amp;utm_keyword=B4B-XH-AM%20(LF)(SN)&amp;utm_medium=aggregator&amp;utm_content=inv_listing&amp;utm_source=octopart" TargetMode="External"/><Relationship Id="rId4" Type="http://schemas.openxmlformats.org/officeDocument/2006/relationships/hyperlink" Target="https://eu.mouser.com/ProductDetail/Toshiba/TLP5751LF4E?qs=sGAEpiMZZMteimceiIVCB0r22036R43JyYcrzpJ6OhOAddVl%2FyBMKg%3D%3D" TargetMode="External"/><Relationship Id="rId9" Type="http://schemas.openxmlformats.org/officeDocument/2006/relationships/hyperlink" Target="https://www.digikey.com/en/products/detail/sullins-connector-solutions/SBH11-PBPC-D10-ST-BK/1990065" TargetMode="External"/><Relationship Id="rId14" Type="http://schemas.openxmlformats.org/officeDocument/2006/relationships/hyperlink" Target="https://www.digikey.com/en/products/detail/micro-crystal-ag/CM8V-T1A-32-768KHZ-6PF-20PPM-TA-QC/10499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C397-22AD-463F-8CBD-1AF936A9EBA0}">
  <dimension ref="A1:N21"/>
  <sheetViews>
    <sheetView tabSelected="1" workbookViewId="0">
      <selection activeCell="G20" sqref="G20"/>
    </sheetView>
  </sheetViews>
  <sheetFormatPr defaultRowHeight="15" x14ac:dyDescent="0.25"/>
  <cols>
    <col min="1" max="1" width="8.5703125" customWidth="1"/>
    <col min="2" max="2" width="26.42578125" customWidth="1"/>
    <col min="3" max="3" width="24.5703125" customWidth="1"/>
    <col min="4" max="4" width="28.28515625" customWidth="1"/>
    <col min="5" max="5" width="40.140625" customWidth="1"/>
    <col min="6" max="6" width="21.5703125" customWidth="1"/>
    <col min="7" max="7" width="16" customWidth="1"/>
    <col min="8" max="8" width="43" customWidth="1"/>
  </cols>
  <sheetData>
    <row r="1" spans="1:14" ht="15.75" x14ac:dyDescent="0.25">
      <c r="A1" s="37" t="s">
        <v>74</v>
      </c>
      <c r="B1" s="38"/>
      <c r="C1" s="38"/>
      <c r="D1" s="38"/>
      <c r="E1" s="38"/>
      <c r="F1" s="38"/>
      <c r="G1" s="39"/>
      <c r="H1" s="37"/>
      <c r="I1" s="38"/>
      <c r="J1" s="38"/>
      <c r="K1" s="38"/>
      <c r="L1" s="38"/>
      <c r="M1" s="38"/>
      <c r="N1" s="39"/>
    </row>
    <row r="2" spans="1:14" x14ac:dyDescent="0.25">
      <c r="A2" s="2" t="s">
        <v>0</v>
      </c>
      <c r="B2" s="2" t="s">
        <v>36</v>
      </c>
      <c r="C2" s="2" t="s">
        <v>1</v>
      </c>
      <c r="D2" s="2" t="s">
        <v>2</v>
      </c>
      <c r="E2" s="2" t="s">
        <v>3</v>
      </c>
      <c r="F2" s="2" t="s">
        <v>41</v>
      </c>
      <c r="G2" s="2" t="s">
        <v>37</v>
      </c>
      <c r="H2" s="3" t="s">
        <v>4</v>
      </c>
      <c r="I2" s="1"/>
      <c r="J2" s="1"/>
      <c r="K2" s="1"/>
      <c r="L2" s="1"/>
      <c r="M2" s="1"/>
      <c r="N2" s="1"/>
    </row>
    <row r="3" spans="1:14" x14ac:dyDescent="0.25">
      <c r="A3" s="4">
        <v>1</v>
      </c>
      <c r="B3" s="32" t="s">
        <v>40</v>
      </c>
      <c r="C3" s="4" t="s">
        <v>5</v>
      </c>
      <c r="D3" s="4" t="s">
        <v>59</v>
      </c>
      <c r="E3" s="5" t="s">
        <v>58</v>
      </c>
      <c r="F3" s="6" t="s">
        <v>25</v>
      </c>
      <c r="G3" s="7">
        <v>2.2999999999999998</v>
      </c>
      <c r="H3" s="8"/>
      <c r="I3" s="1"/>
      <c r="J3" s="1"/>
      <c r="K3" s="1"/>
      <c r="L3" s="1"/>
      <c r="M3" s="1"/>
      <c r="N3" s="1"/>
    </row>
    <row r="4" spans="1:14" x14ac:dyDescent="0.25">
      <c r="A4" s="9">
        <v>2</v>
      </c>
      <c r="B4" s="33"/>
      <c r="C4" s="9" t="s">
        <v>7</v>
      </c>
      <c r="D4" s="9" t="s">
        <v>34</v>
      </c>
      <c r="E4" s="9" t="s">
        <v>26</v>
      </c>
      <c r="F4" s="10" t="s">
        <v>35</v>
      </c>
      <c r="G4" s="11">
        <v>14.7</v>
      </c>
      <c r="H4" s="12" t="s">
        <v>33</v>
      </c>
      <c r="I4" s="1"/>
      <c r="J4" s="1"/>
      <c r="K4" s="1"/>
      <c r="L4" s="1"/>
      <c r="M4" s="1"/>
      <c r="N4" s="1"/>
    </row>
    <row r="5" spans="1:14" x14ac:dyDescent="0.25">
      <c r="A5" s="4">
        <v>3</v>
      </c>
      <c r="B5" s="33"/>
      <c r="C5" s="4" t="s">
        <v>21</v>
      </c>
      <c r="D5" s="4" t="s">
        <v>20</v>
      </c>
      <c r="E5" s="4" t="s">
        <v>22</v>
      </c>
      <c r="F5" s="6" t="s">
        <v>42</v>
      </c>
      <c r="G5" s="7">
        <v>0.16</v>
      </c>
      <c r="H5" s="13"/>
      <c r="I5" s="1"/>
      <c r="J5" s="1"/>
      <c r="K5" s="1"/>
      <c r="L5" s="1"/>
      <c r="M5" s="1"/>
      <c r="N5" s="1"/>
    </row>
    <row r="6" spans="1:14" ht="30" x14ac:dyDescent="0.25">
      <c r="A6" s="9"/>
      <c r="B6" s="33"/>
      <c r="C6" s="9" t="s">
        <v>61</v>
      </c>
      <c r="D6" s="15" t="s">
        <v>75</v>
      </c>
      <c r="E6" s="15" t="s">
        <v>76</v>
      </c>
      <c r="F6" s="31" t="s">
        <v>19</v>
      </c>
      <c r="G6" s="11">
        <v>0.7</v>
      </c>
      <c r="H6" s="14" t="s">
        <v>77</v>
      </c>
      <c r="I6" s="1"/>
      <c r="J6" s="1"/>
      <c r="K6" s="1"/>
      <c r="L6" s="1"/>
      <c r="M6" s="1"/>
      <c r="N6" s="1"/>
    </row>
    <row r="7" spans="1:14" x14ac:dyDescent="0.25">
      <c r="A7" s="4">
        <v>4</v>
      </c>
      <c r="B7" s="33"/>
      <c r="C7" s="4" t="s">
        <v>8</v>
      </c>
      <c r="D7" s="4" t="s">
        <v>60</v>
      </c>
      <c r="E7" s="4" t="s">
        <v>9</v>
      </c>
      <c r="F7" s="6" t="s">
        <v>6</v>
      </c>
      <c r="G7" s="7">
        <v>0.23</v>
      </c>
      <c r="H7" s="13"/>
      <c r="I7" s="1"/>
      <c r="J7" s="1"/>
      <c r="K7" s="1"/>
      <c r="L7" s="1"/>
      <c r="M7" s="1"/>
      <c r="N7" s="1"/>
    </row>
    <row r="8" spans="1:14" x14ac:dyDescent="0.25">
      <c r="A8" s="4"/>
      <c r="B8" s="33"/>
      <c r="C8" s="4" t="s">
        <v>68</v>
      </c>
      <c r="D8" s="4" t="s">
        <v>70</v>
      </c>
      <c r="E8" s="4" t="s">
        <v>69</v>
      </c>
      <c r="F8" s="22" t="s">
        <v>25</v>
      </c>
      <c r="G8" s="7"/>
      <c r="H8" s="21"/>
      <c r="I8" s="1"/>
      <c r="J8" s="1"/>
      <c r="K8" s="1"/>
      <c r="L8" s="1"/>
      <c r="M8" s="1"/>
      <c r="N8" s="1"/>
    </row>
    <row r="9" spans="1:14" ht="23.25" customHeight="1" x14ac:dyDescent="0.25">
      <c r="A9" s="9">
        <v>5</v>
      </c>
      <c r="B9" s="34"/>
      <c r="C9" s="9" t="s">
        <v>10</v>
      </c>
      <c r="D9" s="9" t="s">
        <v>24</v>
      </c>
      <c r="E9" s="9" t="s">
        <v>11</v>
      </c>
      <c r="F9" s="10" t="s">
        <v>6</v>
      </c>
      <c r="G9" s="11">
        <v>2.46</v>
      </c>
      <c r="H9" s="14"/>
      <c r="I9" s="1"/>
      <c r="J9" s="1"/>
      <c r="K9" s="1"/>
      <c r="L9" s="1"/>
      <c r="M9" s="1"/>
      <c r="N9" s="1"/>
    </row>
    <row r="10" spans="1:14" x14ac:dyDescent="0.25">
      <c r="A10" s="4">
        <v>6</v>
      </c>
      <c r="B10" s="32" t="s">
        <v>31</v>
      </c>
      <c r="C10" s="4" t="s">
        <v>31</v>
      </c>
      <c r="D10" s="4" t="s">
        <v>29</v>
      </c>
      <c r="E10" s="4" t="s">
        <v>30</v>
      </c>
      <c r="F10" s="6" t="s">
        <v>6</v>
      </c>
      <c r="G10" s="7">
        <v>0.25</v>
      </c>
      <c r="H10" s="13"/>
      <c r="I10" s="1"/>
      <c r="J10" s="1"/>
      <c r="K10" s="1"/>
      <c r="L10" s="1"/>
      <c r="M10" s="1"/>
      <c r="N10" s="1"/>
    </row>
    <row r="11" spans="1:14" ht="30" x14ac:dyDescent="0.25">
      <c r="A11" s="9"/>
      <c r="B11" s="34"/>
      <c r="C11" s="9" t="s">
        <v>31</v>
      </c>
      <c r="D11" s="15" t="s">
        <v>52</v>
      </c>
      <c r="E11" s="9" t="s">
        <v>53</v>
      </c>
      <c r="F11" s="10" t="s">
        <v>25</v>
      </c>
      <c r="G11" s="11">
        <v>0.45</v>
      </c>
      <c r="H11" s="14"/>
      <c r="I11" s="1"/>
      <c r="J11" s="1"/>
      <c r="K11" s="1"/>
      <c r="L11" s="1"/>
      <c r="M11" s="1"/>
      <c r="N11" s="1"/>
    </row>
    <row r="12" spans="1:14" ht="30" x14ac:dyDescent="0.25">
      <c r="A12" s="4">
        <v>7</v>
      </c>
      <c r="B12" s="4" t="s">
        <v>39</v>
      </c>
      <c r="C12" s="4" t="s">
        <v>28</v>
      </c>
      <c r="D12" s="4" t="s">
        <v>44</v>
      </c>
      <c r="E12" s="4" t="s">
        <v>43</v>
      </c>
      <c r="F12" s="6" t="s">
        <v>25</v>
      </c>
      <c r="G12" s="7">
        <f>0.1</f>
        <v>0.1</v>
      </c>
      <c r="H12" s="8" t="s">
        <v>45</v>
      </c>
      <c r="I12" s="1"/>
      <c r="J12" s="1"/>
      <c r="K12" s="1"/>
      <c r="L12" s="1"/>
      <c r="M12" s="1"/>
      <c r="N12" s="1"/>
    </row>
    <row r="13" spans="1:14" x14ac:dyDescent="0.25">
      <c r="A13" s="9"/>
      <c r="B13" s="9" t="s">
        <v>54</v>
      </c>
      <c r="C13" s="9" t="s">
        <v>55</v>
      </c>
      <c r="D13" s="9" t="s">
        <v>56</v>
      </c>
      <c r="E13" s="9" t="s">
        <v>57</v>
      </c>
      <c r="F13" s="10" t="s">
        <v>25</v>
      </c>
      <c r="G13" s="11">
        <v>9.2999999999999999E-2</v>
      </c>
      <c r="H13" s="12"/>
      <c r="I13" s="1"/>
      <c r="J13" s="1"/>
      <c r="K13" s="1"/>
      <c r="L13" s="1"/>
      <c r="M13" s="1"/>
      <c r="N13" s="1"/>
    </row>
    <row r="14" spans="1:14" x14ac:dyDescent="0.25">
      <c r="A14" s="4">
        <v>10</v>
      </c>
      <c r="B14" s="4" t="s">
        <v>12</v>
      </c>
      <c r="C14" s="4" t="s">
        <v>12</v>
      </c>
      <c r="D14" s="4" t="s">
        <v>13</v>
      </c>
      <c r="E14" s="4" t="s">
        <v>14</v>
      </c>
      <c r="F14" s="6" t="s">
        <v>15</v>
      </c>
      <c r="G14" s="7">
        <v>18.95</v>
      </c>
      <c r="H14" s="13"/>
      <c r="I14" s="1"/>
      <c r="J14" s="1"/>
      <c r="K14" s="1"/>
      <c r="L14" s="1"/>
      <c r="M14" s="1"/>
      <c r="N14" s="1"/>
    </row>
    <row r="15" spans="1:14" ht="30" x14ac:dyDescent="0.25">
      <c r="A15" s="9">
        <v>11</v>
      </c>
      <c r="B15" s="9" t="s">
        <v>38</v>
      </c>
      <c r="C15" s="9" t="s">
        <v>63</v>
      </c>
      <c r="D15" s="9" t="s">
        <v>65</v>
      </c>
      <c r="E15" s="15" t="s">
        <v>64</v>
      </c>
      <c r="F15" s="10" t="s">
        <v>35</v>
      </c>
      <c r="G15" s="11">
        <v>1.3</v>
      </c>
      <c r="H15" s="14"/>
      <c r="I15" s="1"/>
      <c r="J15" s="1"/>
      <c r="K15" s="1"/>
      <c r="L15" s="1"/>
      <c r="M15" s="1"/>
      <c r="N15" s="1"/>
    </row>
    <row r="16" spans="1:14" x14ac:dyDescent="0.25">
      <c r="A16" s="4">
        <v>9</v>
      </c>
      <c r="B16" s="35" t="s">
        <v>62</v>
      </c>
      <c r="C16" s="4" t="s">
        <v>16</v>
      </c>
      <c r="D16" s="4" t="s">
        <v>27</v>
      </c>
      <c r="E16" s="4" t="s">
        <v>17</v>
      </c>
      <c r="F16" s="6" t="s">
        <v>6</v>
      </c>
      <c r="G16" s="7">
        <v>0.5</v>
      </c>
      <c r="H16" s="13"/>
      <c r="I16" s="1"/>
      <c r="J16" s="1"/>
      <c r="K16" s="1"/>
      <c r="L16" s="1"/>
      <c r="M16" s="1"/>
      <c r="N16" s="1"/>
    </row>
    <row r="17" spans="1:14" ht="30" x14ac:dyDescent="0.25">
      <c r="A17" s="9">
        <v>12</v>
      </c>
      <c r="B17" s="33"/>
      <c r="C17" s="9" t="s">
        <v>18</v>
      </c>
      <c r="D17" s="9" t="s">
        <v>67</v>
      </c>
      <c r="E17" s="15" t="s">
        <v>23</v>
      </c>
      <c r="F17" s="10" t="s">
        <v>19</v>
      </c>
      <c r="G17" s="11">
        <v>1.1000000000000001</v>
      </c>
      <c r="H17" s="14"/>
      <c r="I17" s="1"/>
      <c r="J17" s="1"/>
      <c r="K17" s="1"/>
      <c r="L17" s="1"/>
      <c r="M17" s="1"/>
      <c r="N17" s="1"/>
    </row>
    <row r="18" spans="1:14" x14ac:dyDescent="0.25">
      <c r="A18" s="4">
        <v>13</v>
      </c>
      <c r="B18" s="33"/>
      <c r="C18" s="4" t="s">
        <v>32</v>
      </c>
      <c r="D18" s="4" t="s">
        <v>46</v>
      </c>
      <c r="E18" s="5" t="s">
        <v>47</v>
      </c>
      <c r="F18" s="6" t="s">
        <v>25</v>
      </c>
      <c r="G18" s="7">
        <v>0.09</v>
      </c>
      <c r="H18" s="13"/>
      <c r="I18" s="1"/>
      <c r="J18" s="1"/>
      <c r="K18" s="1"/>
      <c r="L18" s="1"/>
      <c r="M18" s="1"/>
      <c r="N18" s="1"/>
    </row>
    <row r="19" spans="1:14" ht="30.75" thickBot="1" x14ac:dyDescent="0.3">
      <c r="A19" s="9">
        <v>14</v>
      </c>
      <c r="B19" s="36"/>
      <c r="C19" s="16" t="s">
        <v>49</v>
      </c>
      <c r="D19" s="9" t="s">
        <v>50</v>
      </c>
      <c r="E19" s="15" t="s">
        <v>51</v>
      </c>
      <c r="F19" s="10" t="s">
        <v>48</v>
      </c>
      <c r="G19" s="11">
        <v>0.156</v>
      </c>
      <c r="H19" s="14"/>
      <c r="I19" s="1"/>
      <c r="J19" s="1"/>
      <c r="K19" s="1"/>
      <c r="L19" s="1"/>
      <c r="M19" s="1"/>
      <c r="N19" s="1"/>
    </row>
    <row r="20" spans="1:14" ht="46.5" thickTop="1" thickBot="1" x14ac:dyDescent="0.3">
      <c r="A20" s="23"/>
      <c r="B20" s="28" t="s">
        <v>71</v>
      </c>
      <c r="C20" s="29" t="s">
        <v>72</v>
      </c>
      <c r="D20" s="30" t="s">
        <v>78</v>
      </c>
      <c r="E20" s="24" t="s">
        <v>73</v>
      </c>
      <c r="F20" s="25"/>
      <c r="G20" s="26"/>
      <c r="H20" s="27"/>
      <c r="I20" s="1"/>
      <c r="J20" s="1"/>
      <c r="K20" s="1"/>
      <c r="L20" s="1"/>
      <c r="M20" s="1"/>
      <c r="N20" s="1"/>
    </row>
    <row r="21" spans="1:14" ht="15.75" thickTop="1" x14ac:dyDescent="0.25">
      <c r="A21" s="17" t="s">
        <v>66</v>
      </c>
      <c r="B21" s="17"/>
      <c r="C21" s="17"/>
      <c r="D21" s="17"/>
      <c r="E21" s="18"/>
      <c r="F21" s="18"/>
      <c r="G21" s="19">
        <f>SUM(Sheet1!$G$3:$G$19)</f>
        <v>43.539000000000001</v>
      </c>
      <c r="H21" s="20">
        <f>SUBTOTAL(103,Sheet1!$H$3:$H$19)</f>
        <v>3</v>
      </c>
      <c r="I21" s="1"/>
      <c r="J21" s="1"/>
      <c r="K21" s="1"/>
      <c r="L21" s="1"/>
      <c r="M21" s="1"/>
      <c r="N21" s="1"/>
    </row>
  </sheetData>
  <mergeCells count="5">
    <mergeCell ref="B3:B9"/>
    <mergeCell ref="B10:B11"/>
    <mergeCell ref="B16:B19"/>
    <mergeCell ref="A1:G1"/>
    <mergeCell ref="H1:N1"/>
  </mergeCells>
  <hyperlinks>
    <hyperlink ref="F3" r:id="rId1" xr:uid="{26C41CE9-6DD4-417E-B327-9FEAF34153CA}"/>
    <hyperlink ref="F7" r:id="rId2" xr:uid="{4A8D8176-DFDF-4BE5-BF45-322C3D4261B7}"/>
    <hyperlink ref="F14" r:id="rId3" xr:uid="{06A9B98D-F6A0-451E-AE25-7582C35573FF}"/>
    <hyperlink ref="F15" r:id="rId4" xr:uid="{05EAD26A-0BB8-4F3E-9D94-1A56DC8B5E06}"/>
    <hyperlink ref="F4" r:id="rId5" xr:uid="{E31C7531-1F66-4B6E-B4FE-763ED2A60F5E}"/>
    <hyperlink ref="F17" r:id="rId6" xr:uid="{779ECD78-33EE-49DA-A32E-80F97346C34B}"/>
    <hyperlink ref="F5" r:id="rId7" xr:uid="{965C0271-F5D8-439C-A055-4223ED6B5930}"/>
    <hyperlink ref="F9" r:id="rId8" xr:uid="{C32D6C63-BF95-4A72-AB73-55F6E42AD1F4}"/>
    <hyperlink ref="F16" r:id="rId9" xr:uid="{9FB9BE64-1577-475B-9811-D2A2A41C49BD}"/>
    <hyperlink ref="F19" r:id="rId10" xr:uid="{00AA1C19-436A-4F64-AA4E-B82B03414973}"/>
    <hyperlink ref="F10" r:id="rId11" xr:uid="{9293B878-7405-4DA0-BDE8-47C20655BEB3}"/>
    <hyperlink ref="F12" r:id="rId12" xr:uid="{6358AAEC-6ECE-41FA-89C1-A7C8F1F45644}"/>
    <hyperlink ref="F18" r:id="rId13" xr:uid="{ECD96B5E-82E1-4858-8739-5B0BEAF9F70C}"/>
    <hyperlink ref="F11" r:id="rId14" xr:uid="{F4611FEC-993C-40E0-A844-6A4E59ED6240}"/>
    <hyperlink ref="F13" r:id="rId15" xr:uid="{85D0CB9E-11E8-4E95-80F0-3E0DBCE0F53B}"/>
    <hyperlink ref="F6" r:id="rId16" xr:uid="{5DE86DB5-9921-4BE0-8527-FE07F12515DF}"/>
    <hyperlink ref="F8" r:id="rId17" xr:uid="{35405EA5-D0B7-4F38-AFD2-72A727A3226C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2021-09-15T13:39:25Z</dcterms:created>
  <dcterms:modified xsi:type="dcterms:W3CDTF">2021-09-20T14:55:52Z</dcterms:modified>
</cp:coreProperties>
</file>