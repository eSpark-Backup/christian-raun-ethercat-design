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ChrisitanRaun-AnnanasMotor\Documents\Client-Files\Client BOM\"/>
    </mc:Choice>
  </mc:AlternateContent>
  <bookViews>
    <workbookView xWindow="0" yWindow="0" windowWidth="28800" windowHeight="125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26" i="1" l="1"/>
  <c r="M25" i="1"/>
  <c r="M24" i="1"/>
  <c r="M23" i="1"/>
  <c r="M22" i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<sst xmlns="http://schemas.openxmlformats.org/spreadsheetml/2006/main" count="206" uniqueCount="161">
  <si>
    <t>Bill of Material (BOM)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</si>
  <si>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</si>
  <si>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</si>
  <si>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</si>
  <si>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</si>
  <si>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</si>
  <si>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</si>
  <si>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</si>
  <si>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</si>
  <si>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</si>
  <si>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</si>
  <si>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Ordered Quantity</t>
  </si>
  <si>
    <t>Quantity (Per Board)</t>
  </si>
  <si>
    <t>Quantity 400</t>
  </si>
  <si>
    <t xml:space="preserve">MOKO Question </t>
  </si>
  <si>
    <t>Capacitor</t>
  </si>
  <si>
    <t>CAP CER 1UF 100V X7S 0805</t>
  </si>
  <si>
    <t>C1, C3, C5, C26</t>
  </si>
  <si>
    <t>Cap0805</t>
  </si>
  <si>
    <t>GCM21BC72A105KE36L</t>
  </si>
  <si>
    <t xml:space="preserve">Murata </t>
  </si>
  <si>
    <t>C2842838</t>
  </si>
  <si>
    <t>------------</t>
  </si>
  <si>
    <t>1uF</t>
  </si>
  <si>
    <t>We use the replacement of C0805X105K101T 1uF 100V ±10% 0805 SMD HEC X7R RoHs, pls confirm if ok?</t>
  </si>
  <si>
    <t>CAP CER 0.1UF 100V X7R 0603</t>
  </si>
  <si>
    <t xml:space="preserve">C2, C4, C6, C7, C8, C9, C10, C11, C12, C13, C14, C15, C16, C20, C21, C22, C23, C24, C25, C30, C31, C34, C35, C41
</t>
  </si>
  <si>
    <t>Cap0603</t>
  </si>
  <si>
    <t>CC0603KRX7R0BB104</t>
  </si>
  <si>
    <t>YAGEO</t>
  </si>
  <si>
    <t xml:space="preserve">C113803
</t>
  </si>
  <si>
    <t>0.1uF</t>
  </si>
  <si>
    <t>CAP CER 10UF 50V X5R 0805</t>
  </si>
  <si>
    <t>C17</t>
  </si>
  <si>
    <t>GRM21BR61H106ME43L</t>
  </si>
  <si>
    <t>C440198</t>
  </si>
  <si>
    <t>GRM21BR61H106KE43L</t>
  </si>
  <si>
    <t>10uF</t>
  </si>
  <si>
    <t>CAP CER 4.7UF 25V X5R 0603</t>
  </si>
  <si>
    <t>C18, C19, C29</t>
  </si>
  <si>
    <t>C1608X5R1E475M080AC</t>
  </si>
  <si>
    <t xml:space="preserve">TDK </t>
  </si>
  <si>
    <t>C76615</t>
  </si>
  <si>
    <t>C1608X5R1E475KT000E</t>
  </si>
  <si>
    <t>4.7uF</t>
  </si>
  <si>
    <t>CAP CER 10PF 50V C0G/NP0 0603</t>
  </si>
  <si>
    <t>C27, C28, C32, C33</t>
  </si>
  <si>
    <t>06035A100JAT2A</t>
  </si>
  <si>
    <t xml:space="preserve">KYOCERA AVX
</t>
  </si>
  <si>
    <t xml:space="preserve">C106245
</t>
  </si>
  <si>
    <t>CC0603JRNPO9BN100</t>
  </si>
  <si>
    <t>10pF</t>
  </si>
  <si>
    <t>LED</t>
  </si>
  <si>
    <t>Green 520~535nm 0402 Light Emitting Diodes (LED) RoHS</t>
  </si>
  <si>
    <t>LED1, LED2,LED3</t>
  </si>
  <si>
    <t>LED 0402</t>
  </si>
  <si>
    <t>16-213/GHC-YR1S1/3T</t>
  </si>
  <si>
    <t>Everlight Elec</t>
  </si>
  <si>
    <t>C74338</t>
  </si>
  <si>
    <t>-----</t>
  </si>
  <si>
    <t xml:space="preserve">Inductor </t>
  </si>
  <si>
    <t>200Ω @ 100MHz 1 1A 300mΩ 0603 Ferrite Beads</t>
  </si>
  <si>
    <t>L1, L2, L3, L4, L5</t>
  </si>
  <si>
    <t>Ind 0603</t>
  </si>
  <si>
    <t>MLB1608-201P1A(f)</t>
  </si>
  <si>
    <t xml:space="preserve">Meled </t>
  </si>
  <si>
    <t>C45316</t>
  </si>
  <si>
    <t>IND SMD 10uH 500mA 0805</t>
  </si>
  <si>
    <t>L6</t>
  </si>
  <si>
    <t>Ind0805</t>
  </si>
  <si>
    <t>MGFL2012F100MT-LF</t>
  </si>
  <si>
    <t>microgate</t>
  </si>
  <si>
    <t>C281113</t>
  </si>
  <si>
    <t>Resistor</t>
  </si>
  <si>
    <t>RES SMD 10K OHM 5% 1/10W 0603</t>
  </si>
  <si>
    <t>R1, R2, R3, R4, R5, R9, R14, R15, R16, R23, R41, R42</t>
  </si>
  <si>
    <t>Res0603</t>
  </si>
  <si>
    <t>AC0603JR-0710KL</t>
  </si>
  <si>
    <t>C140867</t>
  </si>
  <si>
    <t>10K</t>
  </si>
  <si>
    <t xml:space="preserve">You required is car class, we will quote as ordinary if ok? </t>
  </si>
  <si>
    <t>RES SMD 0603 33 Ohm 1% 1/10W</t>
  </si>
  <si>
    <t>R6, R11, R12</t>
  </si>
  <si>
    <t>RC0603FR-0733RL</t>
  </si>
  <si>
    <t>C108661</t>
  </si>
  <si>
    <t>33R</t>
  </si>
  <si>
    <t>RES  SMD 330R 100 mW 0603</t>
  </si>
  <si>
    <t>R7</t>
  </si>
  <si>
    <t>RC0603JR-07330RL</t>
  </si>
  <si>
    <t>C105879</t>
  </si>
  <si>
    <t>330R</t>
  </si>
  <si>
    <t>RES SMD 1K OHM 1% 1/10W 0603</t>
  </si>
  <si>
    <t>R8, R10, R40,R17</t>
  </si>
  <si>
    <t>RC0603FR-071KL</t>
  </si>
  <si>
    <t>C22548</t>
  </si>
  <si>
    <t>1K</t>
  </si>
  <si>
    <t>RES SMD 100 OHM 1% 1/10W 0603</t>
  </si>
  <si>
    <t>R18, R19</t>
  </si>
  <si>
    <t>RC0603FR-07100RL</t>
  </si>
  <si>
    <t>C105588</t>
  </si>
  <si>
    <t>100R</t>
  </si>
  <si>
    <t>RES SMD 470 OHM 1% 1/10W 0603</t>
  </si>
  <si>
    <t>R20</t>
  </si>
  <si>
    <t>RC0603FR-07470RL</t>
  </si>
  <si>
    <t>C114669</t>
  </si>
  <si>
    <t>470R</t>
  </si>
  <si>
    <t>RES SMD 12.1K OHM 1/10W 0603</t>
  </si>
  <si>
    <t>R13</t>
  </si>
  <si>
    <t>RT0603CRD0712K1L</t>
  </si>
  <si>
    <t xml:space="preserve">Stackpole </t>
  </si>
  <si>
    <t>C705893</t>
  </si>
  <si>
    <t>12.1K</t>
  </si>
  <si>
    <t>Your original model 0.25% is not commonly used, we will quote as precision resistance 12.1K ± 0.1% 0603 SMD UniOhm quotation,
 please confirm if ok?</t>
  </si>
  <si>
    <t>Switch</t>
  </si>
  <si>
    <t>SWITCH TACTILE SPST-NO 0.05A 12V</t>
  </si>
  <si>
    <t>SW1</t>
  </si>
  <si>
    <t>Custom</t>
  </si>
  <si>
    <t>B3U-1000P</t>
  </si>
  <si>
    <t>Omron</t>
  </si>
  <si>
    <t>Ics</t>
  </si>
  <si>
    <t>IC ETHERCAT SLAVE CONTROLLER</t>
  </si>
  <si>
    <t>U1</t>
  </si>
  <si>
    <t>LAN9255/ZMX019</t>
  </si>
  <si>
    <t>IC EEPROM 256KBIT I2C 1MHZ 8SOIC</t>
  </si>
  <si>
    <t>U2</t>
  </si>
  <si>
    <t>8-SOIC</t>
  </si>
  <si>
    <t>CAT24C256WI-GT3</t>
  </si>
  <si>
    <t>onsemi</t>
  </si>
  <si>
    <t>C79987</t>
  </si>
  <si>
    <t>MAGNETIC ANGLE SENSOR</t>
  </si>
  <si>
    <t>U4</t>
  </si>
  <si>
    <t>TLE5012BE5000FUMA1</t>
  </si>
  <si>
    <t xml:space="preserve">Infineon </t>
  </si>
  <si>
    <t>IC TRNSLTR BIDIRECTIONAL US8</t>
  </si>
  <si>
    <t>U3</t>
  </si>
  <si>
    <t>8-VSSOP</t>
  </si>
  <si>
    <t>TXB0102DCUT</t>
  </si>
  <si>
    <t xml:space="preserve">Texas </t>
  </si>
  <si>
    <t>C2677366</t>
  </si>
  <si>
    <t>Crystal</t>
  </si>
  <si>
    <t>CRYSTAL 25.0000MHZ 8PF SMD</t>
  </si>
  <si>
    <t>X1</t>
  </si>
  <si>
    <t>C3E-25.000-8-1015-X-M</t>
  </si>
  <si>
    <t>Crystal 32.768KHZ 6.0PF SMD</t>
  </si>
  <si>
    <t>X2</t>
  </si>
  <si>
    <t>CM8V-T1A-32.768KHZ-6PF-20PPM-TA-QC</t>
  </si>
  <si>
    <t>We will use replacement of 32.768Khz 12.5pF 20ppm 2.0*1.2mm SMD-2 NDK RoHs , pls confirm if ok?</t>
  </si>
  <si>
    <t>Connector</t>
  </si>
  <si>
    <t xml:space="preserve"> 2.54mm Pin Header Male single row Right Angle SMD</t>
  </si>
  <si>
    <t>J1,J2</t>
  </si>
  <si>
    <t>HDR1X5 SMD</t>
  </si>
  <si>
    <t>PH254P1x12SMRA-100</t>
  </si>
  <si>
    <t>RTLECS</t>
  </si>
  <si>
    <t>We will custom the header, pls confirm the1*5p spacing 2.54mm height 6.0mm  no column in the sleeper SMD-5  MXH(CN) 260°RoHs , the quanity should be 2pcs for each board, pls confirm if ok?</t>
  </si>
  <si>
    <t>P=2.54mm Female Headers,SMD,ROHS</t>
  </si>
  <si>
    <t>J3</t>
  </si>
  <si>
    <t>PHF254SMD-x</t>
  </si>
  <si>
    <t xml:space="preserve">Help to provide the completed details for female header. pls confirm the quantity should be 1pcs for each board if correct? </t>
  </si>
  <si>
    <t xml:space="preserve">ok </t>
  </si>
  <si>
    <t xml:space="preserve">Remarks </t>
  </si>
  <si>
    <t>Alternate part no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</si>
</sst>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sz val="12"/>
      <color theme="1"/>
      <name val="Arial"/>
      <family val="2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2" fillId="4" borderId="2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1" fillId="0" borderId="0" xfId="0" applyFont="1" applyFill="1" applyAlignment="1"/>
    <xf numFmtId="0" fontId="1" fillId="0" borderId="20" xfId="0" applyFont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4" borderId="22" xfId="0" applyFont="1" applyFill="1" applyBorder="1" applyAlignment="1">
      <alignment vertical="center"/>
    </xf>
    <xf numFmtId="0" fontId="1" fillId="0" borderId="7" xfId="0" quotePrefix="1" applyFont="1" applyFill="1" applyBorder="1" applyAlignment="1">
      <alignment horizontal="left" vertical="center" wrapText="1"/>
    </xf>
    <xf numFmtId="0" fontId="1" fillId="0" borderId="8" xfId="0" quotePrefix="1" applyFont="1" applyFill="1" applyBorder="1" applyAlignment="1">
      <alignment horizontal="center" vertical="center" wrapText="1"/>
    </xf>
    <xf numFmtId="0" fontId="4" fillId="0" borderId="8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8" xfId="0" quotePrefix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10" xfId="0" quotePrefix="1" applyFont="1" applyFill="1" applyBorder="1" applyAlignment="1">
      <alignment horizontal="left" vertical="center" wrapText="1"/>
    </xf>
    <xf numFmtId="0" fontId="1" fillId="0" borderId="11" xfId="0" quotePrefix="1" applyFont="1" applyFill="1" applyBorder="1" applyAlignment="1">
      <alignment horizontal="center" vertical="center" wrapText="1"/>
    </xf>
    <xf numFmtId="0" fontId="4" fillId="0" borderId="11" xfId="0" quotePrefix="1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1" xfId="0" quotePrefix="1" applyFont="1" applyFill="1" applyBorder="1" applyAlignment="1">
      <alignment horizontal="center" vertical="center" wrapText="1"/>
    </xf>
    <xf numFmtId="0" fontId="1" fillId="4" borderId="11" xfId="0" quotePrefix="1" applyFont="1" applyFill="1" applyBorder="1" applyAlignment="1">
      <alignment horizontal="center" vertical="center" wrapText="1"/>
    </xf>
    <xf numFmtId="0" fontId="1" fillId="0" borderId="13" xfId="0" quotePrefix="1" applyFont="1" applyFill="1" applyBorder="1" applyAlignment="1">
      <alignment horizontal="left" vertical="center" wrapText="1"/>
    </xf>
    <xf numFmtId="0" fontId="1" fillId="0" borderId="14" xfId="0" quotePrefix="1" applyFont="1" applyFill="1" applyBorder="1" applyAlignment="1">
      <alignment horizontal="center" vertical="center" wrapText="1"/>
    </xf>
    <xf numFmtId="0" fontId="4" fillId="0" borderId="14" xfId="0" quotePrefix="1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1" fillId="4" borderId="14" xfId="0" quotePrefix="1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0" borderId="15" xfId="0" quotePrefix="1" applyFont="1" applyFill="1" applyBorder="1" applyAlignment="1">
      <alignment horizontal="left" vertical="center" wrapText="1"/>
    </xf>
    <xf numFmtId="0" fontId="1" fillId="0" borderId="16" xfId="0" quotePrefix="1" applyFont="1" applyFill="1" applyBorder="1" applyAlignment="1">
      <alignment horizontal="center" vertical="center" wrapText="1"/>
    </xf>
    <xf numFmtId="0" fontId="4" fillId="0" borderId="16" xfId="0" quotePrefix="1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6" xfId="0" quotePrefix="1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4" borderId="8" xfId="0" quotePrefix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4" borderId="15" xfId="0" quotePrefix="1" applyFont="1" applyFill="1" applyBorder="1" applyAlignment="1">
      <alignment horizontal="left" vertical="center" wrapText="1"/>
    </xf>
    <xf numFmtId="0" fontId="4" fillId="4" borderId="16" xfId="0" quotePrefix="1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4" borderId="10" xfId="0" quotePrefix="1" applyFont="1" applyFill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4" borderId="14" xfId="0" quotePrefix="1" applyFont="1" applyFill="1" applyBorder="1" applyAlignment="1">
      <alignment horizontal="center" vertical="center" wrapText="1"/>
    </xf>
    <xf numFmtId="0" fontId="1" fillId="6" borderId="7" xfId="0" quotePrefix="1" applyFont="1" applyFill="1" applyBorder="1" applyAlignment="1">
      <alignment horizontal="left" vertical="center" wrapText="1"/>
    </xf>
    <xf numFmtId="0" fontId="1" fillId="6" borderId="8" xfId="0" quotePrefix="1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1" fillId="4" borderId="13" xfId="0" quotePrefix="1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7" borderId="8" xfId="0" quotePrefix="1" applyFont="1" applyFill="1" applyBorder="1" applyAlignment="1">
      <alignment horizontal="center" vertical="center" wrapText="1"/>
    </xf>
    <xf numFmtId="0" fontId="4" fillId="7" borderId="8" xfId="0" quotePrefix="1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tabSelected="1" topLeftCell="G13" zoomScale="85" zoomScaleNormal="85" workbookViewId="0">
      <selection activeCell="O17" sqref="O17"/>
    </sheetView>
  </sheetViews>
  <sheetFormatPr defaultColWidth="9" defaultRowHeight="15"/>
  <cols>
    <col min="1" max="1" width="6.140625" style="1" customWidth="1"/>
    <col min="2" max="2" width="16.28515625" style="2" bestFit="1" customWidth="1"/>
    <col min="3" max="3" width="66" style="2" bestFit="1" customWidth="1"/>
    <col min="4" max="4" width="47" style="2" bestFit="1" customWidth="1"/>
    <col min="5" max="5" width="24.85546875" style="2" bestFit="1" customWidth="1"/>
    <col min="6" max="6" width="48.7109375" style="2" bestFit="1" customWidth="1"/>
    <col min="7" max="7" width="19.5703125" style="2" bestFit="1" customWidth="1"/>
    <col min="8" max="8" width="17.5703125" style="1" bestFit="1" customWidth="1"/>
    <col min="9" max="9" width="28.7109375" style="2" bestFit="1" customWidth="1"/>
    <col min="10" max="10" width="7.7109375" style="2" bestFit="1" customWidth="1"/>
    <col min="11" max="11" width="11" style="2" bestFit="1" customWidth="1"/>
    <col min="12" max="12" width="25.5703125" style="2" bestFit="1" customWidth="1"/>
    <col min="13" max="13" width="15.7109375" style="2" bestFit="1" customWidth="1"/>
    <col min="14" max="14" width="135" style="2" customWidth="1"/>
    <col min="15" max="15" width="28.42578125" style="2" bestFit="1" customWidth="1"/>
    <col min="16" max="16384" width="9" style="2"/>
  </cols>
  <sheetData>
    <row r="1" spans="1:30" ht="16.5" thickBot="1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8"/>
    </row>
    <row r="2" spans="1:30" ht="32.25" thickBot="1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13" t="s">
        <v>11</v>
      </c>
      <c r="L2" s="5" t="s">
        <v>12</v>
      </c>
      <c r="M2" s="5" t="s">
        <v>13</v>
      </c>
      <c r="N2" s="5" t="s">
        <v>14</v>
      </c>
      <c r="O2" s="5" t="s">
        <v>159</v>
      </c>
    </row>
    <row r="3" spans="1:30" ht="68.099999999999994" customHeight="1" thickBot="1">
      <c r="A3" s="4">
        <v>1</v>
      </c>
      <c r="B3" s="74" t="s">
        <v>15</v>
      </c>
      <c r="C3" s="19" t="s">
        <v>16</v>
      </c>
      <c r="D3" s="20" t="s">
        <v>17</v>
      </c>
      <c r="E3" s="20" t="s">
        <v>18</v>
      </c>
      <c r="F3" s="20" t="s">
        <v>19</v>
      </c>
      <c r="G3" s="21" t="s">
        <v>20</v>
      </c>
      <c r="H3" s="22" t="s">
        <v>21</v>
      </c>
      <c r="I3" s="23" t="s">
        <v>22</v>
      </c>
      <c r="J3" s="20" t="s">
        <v>23</v>
      </c>
      <c r="K3" s="24">
        <v>1620</v>
      </c>
      <c r="L3" s="24">
        <v>4</v>
      </c>
      <c r="M3" s="24">
        <f t="shared" ref="M3:M18" si="0">L3*400</f>
        <v>1600</v>
      </c>
      <c r="N3" s="25" t="s">
        <v>24</v>
      </c>
      <c r="O3" s="73" t="s">
        <v>158</v>
      </c>
    </row>
    <row r="4" spans="1:30" ht="68.099999999999994" customHeight="1">
      <c r="A4" s="4">
        <v>2</v>
      </c>
      <c r="B4" s="76"/>
      <c r="C4" s="26" t="s">
        <v>25</v>
      </c>
      <c r="D4" s="6" t="s">
        <v>26</v>
      </c>
      <c r="E4" s="27" t="s">
        <v>27</v>
      </c>
      <c r="F4" s="27" t="s">
        <v>28</v>
      </c>
      <c r="G4" s="28" t="s">
        <v>29</v>
      </c>
      <c r="H4" s="29" t="s">
        <v>30</v>
      </c>
      <c r="I4" s="30" t="s">
        <v>22</v>
      </c>
      <c r="J4" s="27" t="s">
        <v>31</v>
      </c>
      <c r="K4" s="6">
        <v>9800</v>
      </c>
      <c r="L4" s="6">
        <v>24</v>
      </c>
      <c r="M4" s="6">
        <f t="shared" si="0"/>
        <v>9600</v>
      </c>
      <c r="N4" s="6"/>
      <c r="O4" s="14"/>
    </row>
    <row r="5" spans="1:30" ht="68.099999999999994" customHeight="1">
      <c r="A5" s="4">
        <v>3</v>
      </c>
      <c r="B5" s="76"/>
      <c r="C5" s="26" t="s">
        <v>32</v>
      </c>
      <c r="D5" s="27" t="s">
        <v>33</v>
      </c>
      <c r="E5" s="27" t="s">
        <v>18</v>
      </c>
      <c r="F5" s="27" t="s">
        <v>34</v>
      </c>
      <c r="G5" s="28" t="s">
        <v>20</v>
      </c>
      <c r="H5" s="29" t="s">
        <v>35</v>
      </c>
      <c r="I5" s="31" t="s">
        <v>36</v>
      </c>
      <c r="J5" s="27" t="s">
        <v>37</v>
      </c>
      <c r="K5" s="6">
        <v>420</v>
      </c>
      <c r="L5" s="6">
        <v>1</v>
      </c>
      <c r="M5" s="6">
        <f t="shared" si="0"/>
        <v>400</v>
      </c>
      <c r="N5" s="6"/>
      <c r="O5" s="14"/>
    </row>
    <row r="6" spans="1:30" ht="68.099999999999994" customHeight="1">
      <c r="A6" s="4">
        <v>4</v>
      </c>
      <c r="B6" s="76"/>
      <c r="C6" s="26" t="s">
        <v>38</v>
      </c>
      <c r="D6" s="27" t="s">
        <v>39</v>
      </c>
      <c r="E6" s="27" t="s">
        <v>27</v>
      </c>
      <c r="F6" s="27" t="s">
        <v>40</v>
      </c>
      <c r="G6" s="28" t="s">
        <v>41</v>
      </c>
      <c r="H6" s="29" t="s">
        <v>42</v>
      </c>
      <c r="I6" s="31" t="s">
        <v>43</v>
      </c>
      <c r="J6" s="27" t="s">
        <v>44</v>
      </c>
      <c r="K6" s="6">
        <v>1220</v>
      </c>
      <c r="L6" s="6">
        <v>3</v>
      </c>
      <c r="M6" s="6">
        <f t="shared" si="0"/>
        <v>1200</v>
      </c>
      <c r="N6" s="6"/>
      <c r="O6" s="14"/>
    </row>
    <row r="7" spans="1:30" ht="68.099999999999994" customHeight="1">
      <c r="A7" s="4">
        <v>5</v>
      </c>
      <c r="B7" s="75"/>
      <c r="C7" s="32" t="s">
        <v>45</v>
      </c>
      <c r="D7" s="33" t="s">
        <v>46</v>
      </c>
      <c r="E7" s="33" t="s">
        <v>27</v>
      </c>
      <c r="F7" s="33" t="s">
        <v>47</v>
      </c>
      <c r="G7" s="34" t="s">
        <v>48</v>
      </c>
      <c r="H7" s="35" t="s">
        <v>49</v>
      </c>
      <c r="I7" s="36" t="s">
        <v>50</v>
      </c>
      <c r="J7" s="33" t="s">
        <v>51</v>
      </c>
      <c r="K7" s="37">
        <v>1650</v>
      </c>
      <c r="L7" s="37">
        <v>4</v>
      </c>
      <c r="M7" s="37">
        <f t="shared" si="0"/>
        <v>1600</v>
      </c>
      <c r="N7" s="37"/>
      <c r="O7" s="14"/>
    </row>
    <row r="8" spans="1:30" ht="68.099999999999994" customHeight="1">
      <c r="A8" s="4">
        <v>6</v>
      </c>
      <c r="B8" s="38" t="s">
        <v>52</v>
      </c>
      <c r="C8" s="39" t="s">
        <v>53</v>
      </c>
      <c r="D8" s="40" t="s">
        <v>54</v>
      </c>
      <c r="E8" s="40" t="s">
        <v>55</v>
      </c>
      <c r="F8" s="40" t="s">
        <v>56</v>
      </c>
      <c r="G8" s="41" t="s">
        <v>57</v>
      </c>
      <c r="H8" s="42" t="s">
        <v>58</v>
      </c>
      <c r="I8" s="43" t="s">
        <v>22</v>
      </c>
      <c r="J8" s="41" t="s">
        <v>59</v>
      </c>
      <c r="K8" s="44">
        <v>1220</v>
      </c>
      <c r="L8" s="45">
        <v>3</v>
      </c>
      <c r="M8" s="45">
        <f t="shared" si="0"/>
        <v>1200</v>
      </c>
      <c r="N8" s="45"/>
      <c r="O8" s="14"/>
    </row>
    <row r="9" spans="1:30" ht="68.099999999999994" customHeight="1">
      <c r="A9" s="4">
        <v>7</v>
      </c>
      <c r="B9" s="74" t="s">
        <v>60</v>
      </c>
      <c r="C9" s="19" t="s">
        <v>61</v>
      </c>
      <c r="D9" s="20" t="s">
        <v>62</v>
      </c>
      <c r="E9" s="20" t="s">
        <v>63</v>
      </c>
      <c r="F9" s="20" t="s">
        <v>64</v>
      </c>
      <c r="G9" s="21" t="s">
        <v>65</v>
      </c>
      <c r="H9" s="22" t="s">
        <v>66</v>
      </c>
      <c r="I9" s="46" t="s">
        <v>22</v>
      </c>
      <c r="J9" s="21" t="s">
        <v>59</v>
      </c>
      <c r="K9" s="47">
        <v>2100</v>
      </c>
      <c r="L9" s="24">
        <v>5</v>
      </c>
      <c r="M9" s="24">
        <f t="shared" si="0"/>
        <v>2000</v>
      </c>
      <c r="N9" s="24"/>
      <c r="O9" s="14"/>
    </row>
    <row r="10" spans="1:30" ht="68.099999999999994" customHeight="1">
      <c r="A10" s="4">
        <v>8</v>
      </c>
      <c r="B10" s="75"/>
      <c r="C10" s="32" t="s">
        <v>67</v>
      </c>
      <c r="D10" s="33" t="s">
        <v>68</v>
      </c>
      <c r="E10" s="33" t="s">
        <v>69</v>
      </c>
      <c r="F10" s="33" t="s">
        <v>70</v>
      </c>
      <c r="G10" s="34" t="s">
        <v>71</v>
      </c>
      <c r="H10" s="35" t="s">
        <v>72</v>
      </c>
      <c r="I10" s="36" t="s">
        <v>22</v>
      </c>
      <c r="J10" s="34" t="s">
        <v>59</v>
      </c>
      <c r="K10" s="48">
        <v>420</v>
      </c>
      <c r="L10" s="37">
        <v>1</v>
      </c>
      <c r="M10" s="37">
        <f t="shared" si="0"/>
        <v>400</v>
      </c>
      <c r="N10" s="37"/>
      <c r="O10" s="14"/>
    </row>
    <row r="11" spans="1:30" ht="68.099999999999994" customHeight="1">
      <c r="A11" s="4">
        <v>9</v>
      </c>
      <c r="B11" s="74" t="s">
        <v>73</v>
      </c>
      <c r="C11" s="19" t="s">
        <v>74</v>
      </c>
      <c r="D11" s="57" t="s">
        <v>75</v>
      </c>
      <c r="E11" s="69" t="s">
        <v>76</v>
      </c>
      <c r="F11" s="69" t="s">
        <v>77</v>
      </c>
      <c r="G11" s="70" t="s">
        <v>29</v>
      </c>
      <c r="H11" s="71" t="s">
        <v>78</v>
      </c>
      <c r="I11" s="69" t="s">
        <v>22</v>
      </c>
      <c r="J11" s="20" t="s">
        <v>79</v>
      </c>
      <c r="K11" s="49">
        <v>4900</v>
      </c>
      <c r="L11" s="24">
        <v>12</v>
      </c>
      <c r="M11" s="24">
        <f t="shared" si="0"/>
        <v>4800</v>
      </c>
      <c r="N11" s="25" t="s">
        <v>80</v>
      </c>
      <c r="O11" s="14"/>
    </row>
    <row r="12" spans="1:30" ht="68.099999999999994" customHeight="1">
      <c r="A12" s="4">
        <v>10</v>
      </c>
      <c r="B12" s="76"/>
      <c r="C12" s="26" t="s">
        <v>81</v>
      </c>
      <c r="D12" s="27" t="s">
        <v>82</v>
      </c>
      <c r="E12" s="27" t="s">
        <v>76</v>
      </c>
      <c r="F12" s="27" t="s">
        <v>83</v>
      </c>
      <c r="G12" s="28" t="s">
        <v>29</v>
      </c>
      <c r="H12" s="29" t="s">
        <v>84</v>
      </c>
      <c r="I12" s="31" t="s">
        <v>22</v>
      </c>
      <c r="J12" s="27" t="s">
        <v>85</v>
      </c>
      <c r="K12" s="50">
        <v>1300</v>
      </c>
      <c r="L12" s="6">
        <v>3</v>
      </c>
      <c r="M12" s="6">
        <f t="shared" si="0"/>
        <v>1200</v>
      </c>
      <c r="N12" s="6"/>
      <c r="O12" s="14"/>
    </row>
    <row r="13" spans="1:30" ht="68.099999999999994" customHeight="1">
      <c r="A13" s="4">
        <v>11</v>
      </c>
      <c r="B13" s="76"/>
      <c r="C13" s="26" t="s">
        <v>86</v>
      </c>
      <c r="D13" s="27" t="s">
        <v>87</v>
      </c>
      <c r="E13" s="27" t="s">
        <v>76</v>
      </c>
      <c r="F13" s="27" t="s">
        <v>88</v>
      </c>
      <c r="G13" s="28" t="s">
        <v>29</v>
      </c>
      <c r="H13" s="29" t="s">
        <v>89</v>
      </c>
      <c r="I13" s="31" t="s">
        <v>22</v>
      </c>
      <c r="J13" s="27" t="s">
        <v>90</v>
      </c>
      <c r="K13" s="50">
        <v>500</v>
      </c>
      <c r="L13" s="6">
        <v>1</v>
      </c>
      <c r="M13" s="6">
        <f t="shared" si="0"/>
        <v>400</v>
      </c>
      <c r="N13" s="6"/>
      <c r="O13" s="14"/>
    </row>
    <row r="14" spans="1:30" ht="68.099999999999994" customHeight="1">
      <c r="A14" s="4">
        <v>12</v>
      </c>
      <c r="B14" s="76"/>
      <c r="C14" s="26" t="s">
        <v>91</v>
      </c>
      <c r="D14" s="27" t="s">
        <v>92</v>
      </c>
      <c r="E14" s="27" t="s">
        <v>76</v>
      </c>
      <c r="F14" s="27" t="s">
        <v>93</v>
      </c>
      <c r="G14" s="28" t="s">
        <v>29</v>
      </c>
      <c r="H14" s="29" t="s">
        <v>94</v>
      </c>
      <c r="I14" s="31" t="s">
        <v>22</v>
      </c>
      <c r="J14" s="27" t="s">
        <v>95</v>
      </c>
      <c r="K14" s="50">
        <v>1650</v>
      </c>
      <c r="L14" s="6">
        <v>4</v>
      </c>
      <c r="M14" s="6">
        <f t="shared" si="0"/>
        <v>1600</v>
      </c>
      <c r="N14" s="6"/>
      <c r="O14" s="14"/>
    </row>
    <row r="15" spans="1:30" ht="68.099999999999994" customHeight="1">
      <c r="A15" s="4">
        <v>13</v>
      </c>
      <c r="B15" s="79"/>
      <c r="C15" s="8" t="s">
        <v>96</v>
      </c>
      <c r="D15" s="9" t="s">
        <v>97</v>
      </c>
      <c r="E15" s="9" t="s">
        <v>76</v>
      </c>
      <c r="F15" s="9" t="s">
        <v>98</v>
      </c>
      <c r="G15" s="28" t="s">
        <v>29</v>
      </c>
      <c r="H15" s="29" t="s">
        <v>99</v>
      </c>
      <c r="I15" s="31" t="s">
        <v>22</v>
      </c>
      <c r="J15" s="15" t="s">
        <v>100</v>
      </c>
      <c r="K15" s="51">
        <v>900</v>
      </c>
      <c r="L15" s="9">
        <v>2</v>
      </c>
      <c r="M15" s="6">
        <f t="shared" si="0"/>
        <v>800</v>
      </c>
      <c r="N15" s="52"/>
      <c r="O15" s="14"/>
    </row>
    <row r="16" spans="1:30" ht="68.099999999999994" customHeight="1">
      <c r="A16" s="4">
        <v>14</v>
      </c>
      <c r="B16" s="79"/>
      <c r="C16" s="8" t="s">
        <v>101</v>
      </c>
      <c r="D16" s="9" t="s">
        <v>102</v>
      </c>
      <c r="E16" s="9" t="s">
        <v>76</v>
      </c>
      <c r="F16" s="9" t="s">
        <v>103</v>
      </c>
      <c r="G16" s="28" t="s">
        <v>29</v>
      </c>
      <c r="H16" s="29" t="s">
        <v>104</v>
      </c>
      <c r="I16" s="31" t="s">
        <v>22</v>
      </c>
      <c r="J16" s="15" t="s">
        <v>105</v>
      </c>
      <c r="K16" s="51">
        <v>500</v>
      </c>
      <c r="L16" s="9">
        <v>1</v>
      </c>
      <c r="M16" s="6">
        <f t="shared" si="0"/>
        <v>400</v>
      </c>
      <c r="N16" s="52"/>
      <c r="O16" s="14"/>
    </row>
    <row r="17" spans="1:15" ht="68.099999999999994" customHeight="1">
      <c r="A17" s="4">
        <v>15</v>
      </c>
      <c r="B17" s="75"/>
      <c r="C17" s="32" t="s">
        <v>106</v>
      </c>
      <c r="D17" s="33" t="s">
        <v>107</v>
      </c>
      <c r="E17" s="33" t="s">
        <v>76</v>
      </c>
      <c r="F17" s="33" t="s">
        <v>108</v>
      </c>
      <c r="G17" s="34" t="s">
        <v>109</v>
      </c>
      <c r="H17" s="35" t="s">
        <v>110</v>
      </c>
      <c r="I17" s="36" t="s">
        <v>22</v>
      </c>
      <c r="J17" s="33" t="s">
        <v>111</v>
      </c>
      <c r="K17" s="37">
        <v>410</v>
      </c>
      <c r="L17" s="37">
        <v>1</v>
      </c>
      <c r="M17" s="37">
        <f t="shared" si="0"/>
        <v>400</v>
      </c>
      <c r="N17" s="72" t="s">
        <v>112</v>
      </c>
      <c r="O17" s="73" t="s">
        <v>158</v>
      </c>
    </row>
    <row r="18" spans="1:15" ht="68.099999999999994" customHeight="1">
      <c r="A18" s="4">
        <v>16</v>
      </c>
      <c r="B18" s="38" t="s">
        <v>113</v>
      </c>
      <c r="C18" s="53" t="s">
        <v>114</v>
      </c>
      <c r="D18" s="43" t="s">
        <v>115</v>
      </c>
      <c r="E18" s="43" t="s">
        <v>116</v>
      </c>
      <c r="F18" s="43" t="s">
        <v>117</v>
      </c>
      <c r="G18" s="54" t="s">
        <v>118</v>
      </c>
      <c r="H18" s="54" t="s">
        <v>22</v>
      </c>
      <c r="I18" s="43" t="s">
        <v>22</v>
      </c>
      <c r="J18" s="55"/>
      <c r="K18" s="55">
        <v>410</v>
      </c>
      <c r="L18" s="45">
        <v>1</v>
      </c>
      <c r="M18" s="45">
        <f t="shared" si="0"/>
        <v>400</v>
      </c>
      <c r="N18" s="45"/>
      <c r="O18" s="14"/>
    </row>
    <row r="19" spans="1:15" ht="68.099999999999994" customHeight="1">
      <c r="A19" s="4">
        <v>17</v>
      </c>
      <c r="B19" s="74" t="s">
        <v>119</v>
      </c>
      <c r="C19" s="56" t="s">
        <v>120</v>
      </c>
      <c r="D19" s="46" t="s">
        <v>121</v>
      </c>
      <c r="E19" s="49"/>
      <c r="F19" s="46" t="s">
        <v>122</v>
      </c>
      <c r="G19" s="22"/>
      <c r="H19" s="22"/>
      <c r="I19" s="22"/>
      <c r="J19" s="22"/>
      <c r="K19" s="22">
        <v>410</v>
      </c>
      <c r="L19" s="24">
        <v>1</v>
      </c>
      <c r="M19" s="57">
        <v>400</v>
      </c>
      <c r="N19" s="57"/>
      <c r="O19" s="14"/>
    </row>
    <row r="20" spans="1:15" ht="68.099999999999994" customHeight="1">
      <c r="A20" s="4">
        <v>18</v>
      </c>
      <c r="B20" s="76"/>
      <c r="C20" s="58" t="s">
        <v>123</v>
      </c>
      <c r="D20" s="31" t="s">
        <v>124</v>
      </c>
      <c r="E20" s="31" t="s">
        <v>125</v>
      </c>
      <c r="F20" s="31" t="s">
        <v>126</v>
      </c>
      <c r="G20" s="30" t="s">
        <v>127</v>
      </c>
      <c r="H20" s="29" t="s">
        <v>128</v>
      </c>
      <c r="I20" s="31" t="s">
        <v>22</v>
      </c>
      <c r="J20" s="30" t="s">
        <v>59</v>
      </c>
      <c r="K20" s="29">
        <v>420</v>
      </c>
      <c r="L20" s="6">
        <v>1</v>
      </c>
      <c r="M20" s="6">
        <f t="shared" ref="M20:M26" si="1">L20*400</f>
        <v>400</v>
      </c>
      <c r="N20" s="6"/>
      <c r="O20" s="14"/>
    </row>
    <row r="21" spans="1:15" ht="68.099999999999994" customHeight="1">
      <c r="A21" s="4">
        <v>19</v>
      </c>
      <c r="B21" s="76"/>
      <c r="C21" s="58" t="s">
        <v>129</v>
      </c>
      <c r="D21" s="31" t="s">
        <v>130</v>
      </c>
      <c r="E21" s="31" t="s">
        <v>125</v>
      </c>
      <c r="F21" s="31" t="s">
        <v>131</v>
      </c>
      <c r="G21" s="30" t="s">
        <v>132</v>
      </c>
      <c r="H21" s="30" t="s">
        <v>22</v>
      </c>
      <c r="I21" s="31" t="s">
        <v>22</v>
      </c>
      <c r="J21" s="30" t="s">
        <v>59</v>
      </c>
      <c r="K21" s="29">
        <v>410</v>
      </c>
      <c r="L21" s="6">
        <v>1</v>
      </c>
      <c r="M21" s="6">
        <f t="shared" si="1"/>
        <v>400</v>
      </c>
      <c r="N21" s="6"/>
      <c r="O21" s="14"/>
    </row>
    <row r="22" spans="1:15" ht="68.099999999999994" customHeight="1">
      <c r="A22" s="4">
        <v>20</v>
      </c>
      <c r="B22" s="75"/>
      <c r="C22" s="58" t="s">
        <v>133</v>
      </c>
      <c r="D22" s="36" t="s">
        <v>134</v>
      </c>
      <c r="E22" s="36" t="s">
        <v>135</v>
      </c>
      <c r="F22" s="59" t="s">
        <v>136</v>
      </c>
      <c r="G22" s="36" t="s">
        <v>137</v>
      </c>
      <c r="H22" s="10" t="s">
        <v>138</v>
      </c>
      <c r="I22" s="36" t="s">
        <v>22</v>
      </c>
      <c r="J22" s="60" t="s">
        <v>59</v>
      </c>
      <c r="K22" s="35">
        <v>420</v>
      </c>
      <c r="L22" s="37">
        <v>1</v>
      </c>
      <c r="M22" s="37">
        <f t="shared" si="1"/>
        <v>400</v>
      </c>
      <c r="N22" s="37"/>
      <c r="O22" s="14"/>
    </row>
    <row r="23" spans="1:15" ht="68.099999999999994" customHeight="1">
      <c r="A23" s="4">
        <v>21</v>
      </c>
      <c r="B23" s="74" t="s">
        <v>139</v>
      </c>
      <c r="C23" s="61" t="s">
        <v>140</v>
      </c>
      <c r="D23" s="62" t="s">
        <v>141</v>
      </c>
      <c r="E23" s="62" t="s">
        <v>116</v>
      </c>
      <c r="F23" s="62" t="s">
        <v>142</v>
      </c>
      <c r="G23" s="63"/>
      <c r="H23" s="64"/>
      <c r="I23" s="65"/>
      <c r="J23" s="65"/>
      <c r="K23" s="65"/>
      <c r="L23" s="63">
        <v>1</v>
      </c>
      <c r="M23" s="63">
        <f t="shared" si="1"/>
        <v>400</v>
      </c>
      <c r="N23" s="63"/>
      <c r="O23" s="14"/>
    </row>
    <row r="24" spans="1:15" ht="68.099999999999994" customHeight="1">
      <c r="A24" s="4">
        <v>22</v>
      </c>
      <c r="B24" s="75"/>
      <c r="C24" s="66" t="s">
        <v>143</v>
      </c>
      <c r="D24" s="36" t="s">
        <v>144</v>
      </c>
      <c r="E24" s="36" t="s">
        <v>116</v>
      </c>
      <c r="F24" s="36" t="s">
        <v>145</v>
      </c>
      <c r="G24" s="67"/>
      <c r="H24" s="35"/>
      <c r="I24" s="35"/>
      <c r="J24" s="35"/>
      <c r="K24" s="35">
        <v>410</v>
      </c>
      <c r="L24" s="37">
        <v>1</v>
      </c>
      <c r="M24" s="37">
        <f t="shared" si="1"/>
        <v>400</v>
      </c>
      <c r="N24" s="16" t="s">
        <v>146</v>
      </c>
      <c r="O24" s="73" t="s">
        <v>160</v>
      </c>
    </row>
    <row r="25" spans="1:15" ht="68.099999999999994" customHeight="1">
      <c r="A25" s="4">
        <v>23</v>
      </c>
      <c r="B25" s="74" t="s">
        <v>147</v>
      </c>
      <c r="C25" s="19" t="s">
        <v>148</v>
      </c>
      <c r="D25" s="20" t="s">
        <v>149</v>
      </c>
      <c r="E25" s="20" t="s">
        <v>150</v>
      </c>
      <c r="F25" s="20" t="s">
        <v>151</v>
      </c>
      <c r="G25" s="20" t="s">
        <v>152</v>
      </c>
      <c r="H25" s="7"/>
      <c r="I25" s="7"/>
      <c r="J25" s="24"/>
      <c r="K25" s="7">
        <v>35</v>
      </c>
      <c r="L25" s="24">
        <v>8.7499999999999994E-2</v>
      </c>
      <c r="M25" s="7">
        <f t="shared" si="1"/>
        <v>35</v>
      </c>
      <c r="N25" s="17" t="s">
        <v>153</v>
      </c>
      <c r="O25" s="73" t="s">
        <v>160</v>
      </c>
    </row>
    <row r="26" spans="1:15" ht="68.099999999999994" customHeight="1">
      <c r="A26" s="4">
        <v>24</v>
      </c>
      <c r="B26" s="76"/>
      <c r="C26" s="26" t="s">
        <v>154</v>
      </c>
      <c r="D26" s="27" t="s">
        <v>155</v>
      </c>
      <c r="E26" s="27" t="s">
        <v>156</v>
      </c>
      <c r="F26" s="27" t="s">
        <v>156</v>
      </c>
      <c r="G26" s="27" t="s">
        <v>152</v>
      </c>
      <c r="H26" s="9"/>
      <c r="I26" s="9"/>
      <c r="J26" s="6"/>
      <c r="K26" s="9">
        <v>5</v>
      </c>
      <c r="L26" s="6">
        <v>0.01</v>
      </c>
      <c r="M26" s="9">
        <f t="shared" si="1"/>
        <v>4</v>
      </c>
      <c r="N26" s="68" t="s">
        <v>157</v>
      </c>
      <c r="O26" s="14"/>
    </row>
    <row r="27" spans="1:15">
      <c r="A27" s="2"/>
      <c r="H27" s="2"/>
      <c r="O27" s="14"/>
    </row>
    <row r="28" spans="1:15">
      <c r="A28" s="2"/>
      <c r="H28" s="2"/>
      <c r="O28" s="14"/>
    </row>
    <row r="29" spans="1:15">
      <c r="A29" s="2"/>
      <c r="H29" s="2"/>
      <c r="O29" s="14"/>
    </row>
    <row r="30" spans="1:15">
      <c r="A30" s="2"/>
      <c r="H30" s="2"/>
      <c r="O30" s="14"/>
    </row>
    <row r="31" spans="1:15">
      <c r="A31" s="2"/>
      <c r="H31" s="2"/>
      <c r="O31" s="14"/>
    </row>
    <row r="32" spans="1:15">
      <c r="A32" s="2"/>
      <c r="O32" s="14"/>
    </row>
    <row r="33" spans="1:15">
      <c r="A33" s="2"/>
      <c r="O33" s="14"/>
    </row>
    <row r="34" spans="1:15" ht="15.75" customHeight="1">
      <c r="A34" s="2"/>
      <c r="O34" s="14"/>
    </row>
    <row r="35" spans="1:15">
      <c r="A35" s="2"/>
      <c r="O35" s="14"/>
    </row>
    <row r="36" spans="1:15">
      <c r="A36" s="2"/>
      <c r="O36" s="14"/>
    </row>
    <row r="37" spans="1:15">
      <c r="A37" s="2"/>
      <c r="O37" s="14"/>
    </row>
    <row r="38" spans="1:15">
      <c r="A38" s="2"/>
      <c r="O38" s="14"/>
    </row>
    <row r="39" spans="1:15">
      <c r="A39" s="2"/>
      <c r="O39" s="14"/>
    </row>
    <row r="40" spans="1:15">
      <c r="H40" s="11"/>
    </row>
    <row r="41" spans="1:15">
      <c r="H41" s="11"/>
    </row>
  </sheetData>
  <mergeCells count="7">
    <mergeCell ref="B23:B24"/>
    <mergeCell ref="B25:B26"/>
    <mergeCell ref="A1:N1"/>
    <mergeCell ref="B3:B7"/>
    <mergeCell ref="B9:B10"/>
    <mergeCell ref="B11:B17"/>
    <mergeCell ref="B19:B22"/>
  </mergeCells>
  <conditionalFormatting sqref="L3:L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6 L17:M26 L8:L14 N3:N2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N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Windows User</cp:lastModifiedBy>
  <dcterms:created xsi:type="dcterms:W3CDTF">2021-10-16T12:34:00Z</dcterms:created>
  <dcterms:modified xsi:type="dcterms:W3CDTF">2021-11-17T13:04:32Z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2052-11.1.0.11045</vt:lpwstr>
  </property>
</Properties>
</file>